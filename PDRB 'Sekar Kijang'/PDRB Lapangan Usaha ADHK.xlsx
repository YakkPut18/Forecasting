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OJK\PDRB\"/>
    </mc:Choice>
  </mc:AlternateContent>
  <xr:revisionPtr revIDLastSave="0" documentId="13_ncr:1_{381E23B6-57AB-4E90-AB15-0E6989759242}" xr6:coauthVersionLast="47" xr6:coauthVersionMax="47" xr10:uidLastSave="{00000000-0000-0000-0000-000000000000}"/>
  <bookViews>
    <workbookView xWindow="-108" yWindow="-108" windowWidth="23256" windowHeight="13176" xr2:uid="{849157C0-CA0E-4AC2-B87B-2251E1762B48}"/>
  </bookViews>
  <sheets>
    <sheet name="Jember" sheetId="2" r:id="rId1"/>
    <sheet name="Bondowoso" sheetId="3" r:id="rId2"/>
    <sheet name="Situbondo" sheetId="4" r:id="rId3"/>
    <sheet name="Lumajang" sheetId="5" r:id="rId4"/>
    <sheet name="Banyuwangi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6" l="1"/>
  <c r="E3" i="6"/>
  <c r="B4" i="6" s="1"/>
  <c r="B2" i="4"/>
  <c r="B3" i="4"/>
  <c r="B4" i="4"/>
  <c r="B5" i="4"/>
  <c r="B6" i="4"/>
  <c r="B7" i="4"/>
  <c r="B8" i="4"/>
  <c r="B9" i="4"/>
  <c r="B10" i="4"/>
  <c r="E3" i="4"/>
  <c r="B11" i="4" s="1"/>
  <c r="E3" i="5"/>
  <c r="B3" i="5" s="1"/>
  <c r="E3" i="3"/>
  <c r="B4" i="3" s="1"/>
  <c r="C3" i="2"/>
  <c r="C4" i="2"/>
  <c r="C5" i="2"/>
  <c r="C6" i="2"/>
  <c r="C7" i="2"/>
  <c r="C8" i="2"/>
  <c r="C9" i="2"/>
  <c r="C10" i="2"/>
  <c r="C11" i="2"/>
  <c r="C2" i="2"/>
  <c r="B8" i="5" l="1"/>
  <c r="B2" i="5"/>
  <c r="B10" i="5"/>
  <c r="B5" i="5"/>
  <c r="B4" i="5"/>
  <c r="B11" i="5"/>
  <c r="B9" i="5"/>
  <c r="B7" i="5"/>
  <c r="B6" i="5"/>
  <c r="B3" i="3"/>
  <c r="B2" i="3"/>
  <c r="B11" i="3"/>
  <c r="B10" i="3"/>
  <c r="B9" i="3"/>
  <c r="B8" i="3"/>
  <c r="B7" i="3"/>
  <c r="B6" i="3"/>
  <c r="B5" i="3"/>
  <c r="B3" i="6"/>
  <c r="B2" i="6"/>
  <c r="B11" i="6"/>
  <c r="B10" i="6"/>
  <c r="B9" i="6"/>
  <c r="B7" i="6"/>
  <c r="B6" i="6"/>
  <c r="B5" i="6"/>
</calcChain>
</file>

<file path=xl/sharedStrings.xml><?xml version="1.0" encoding="utf-8"?>
<sst xmlns="http://schemas.openxmlformats.org/spreadsheetml/2006/main" count="122" uniqueCount="72">
  <si>
    <t>Backcasting</t>
  </si>
  <si>
    <t xml:space="preserve"> </t>
  </si>
  <si>
    <t>Tahun</t>
  </si>
  <si>
    <t>Data Asli</t>
  </si>
  <si>
    <t>Setelah Backcasting</t>
  </si>
  <si>
    <t>PDRB_Forecast</t>
  </si>
  <si>
    <t>Lower_95%</t>
  </si>
  <si>
    <t>Upper_95%</t>
  </si>
  <si>
    <t>65981.99</t>
  </si>
  <si>
    <t>69228.87</t>
  </si>
  <si>
    <t>72635.51</t>
  </si>
  <si>
    <t>76209.80</t>
  </si>
  <si>
    <t>63798.20</t>
  </si>
  <si>
    <t>65776.17</t>
  </si>
  <si>
    <t>68129.30</t>
  </si>
  <si>
    <t>70721.29</t>
  </si>
  <si>
    <t>68240.54</t>
  </si>
  <si>
    <t>72862.80</t>
  </si>
  <si>
    <t>77439.78</t>
  </si>
  <si>
    <t>82124.25</t>
  </si>
  <si>
    <t>Pertumbuhan</t>
  </si>
  <si>
    <t>Tabel Evaluasi</t>
  </si>
  <si>
    <t>MAPE</t>
  </si>
  <si>
    <t>Evaluasi Error</t>
  </si>
  <si>
    <t>15556.71</t>
  </si>
  <si>
    <t>16308.31</t>
  </si>
  <si>
    <t>17096.23</t>
  </si>
  <si>
    <t>17922.22</t>
  </si>
  <si>
    <t>15115.51</t>
  </si>
  <si>
    <t>15581.88</t>
  </si>
  <si>
    <t>16138.33</t>
  </si>
  <si>
    <t>16750.27</t>
  </si>
  <si>
    <t>16010.79</t>
  </si>
  <si>
    <t>17068.61</t>
  </si>
  <si>
    <t>18110.99</t>
  </si>
  <si>
    <t>Data Awal</t>
  </si>
  <si>
    <t>28344.0</t>
  </si>
  <si>
    <t>29736.44</t>
  </si>
  <si>
    <t>31197.25</t>
  </si>
  <si>
    <t>32729.83</t>
  </si>
  <si>
    <t>27465.79</t>
  </si>
  <si>
    <t>28323.48</t>
  </si>
  <si>
    <t>29344.33</t>
  </si>
  <si>
    <t>30467.89</t>
  </si>
  <si>
    <t>29250.3</t>
  </si>
  <si>
    <t>31219.88</t>
  </si>
  <si>
    <t>33167.18</t>
  </si>
  <si>
    <t>35159.70</t>
  </si>
  <si>
    <t>17539.81</t>
  </si>
  <si>
    <t>18387.93</t>
  </si>
  <si>
    <t>19277.05</t>
  </si>
  <si>
    <t>20209.17</t>
  </si>
  <si>
    <t>17023.00</t>
  </si>
  <si>
    <t>17547.41</t>
  </si>
  <si>
    <t>18172.19</t>
  </si>
  <si>
    <t>18859.39</t>
  </si>
  <si>
    <t>18072.31</t>
  </si>
  <si>
    <t>19268.70</t>
  </si>
  <si>
    <t>20449.09</t>
  </si>
  <si>
    <t>21655.55</t>
  </si>
  <si>
    <t>70111.44</t>
  </si>
  <si>
    <t>73936.29</t>
  </si>
  <si>
    <t>77969.79</t>
  </si>
  <si>
    <t xml:space="preserve">82223.33 </t>
  </si>
  <si>
    <t>67516.44</t>
  </si>
  <si>
    <t>69729.79</t>
  </si>
  <si>
    <t>72426.03</t>
  </si>
  <si>
    <t>75424.61</t>
  </si>
  <si>
    <t>72806.19</t>
  </si>
  <si>
    <t>78396.54</t>
  </si>
  <si>
    <t>83937.88</t>
  </si>
  <si>
    <t>89634.88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</si>
</sst>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0" fontId="2" fillId="0" borderId="0" xfId="0" applyFont="1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3" fillId="0" borderId="1" xfId="0" applyFont="1" applyBorder="1"/>
    <xf numFmtId="0" fontId="0" fillId="3" borderId="1" xfId="0" applyFill="1" applyBorder="1"/>
    <xf numFmtId="0" fontId="0" fillId="2" borderId="1" xfId="0" applyFill="1" applyBorder="1"/>
    <xf numFmtId="4" fontId="1" fillId="0" borderId="1" xfId="0" applyNumberFormat="1" applyFont="1" applyBorder="1" applyAlignment="1">
      <alignment wrapText="1"/>
    </xf>
    <xf numFmtId="4" fontId="0" fillId="2" borderId="1" xfId="0" applyNumberFormat="1" applyFill="1" applyBorder="1"/>
    <xf numFmtId="4" fontId="0" fillId="0" borderId="1" xfId="0" applyNumberFormat="1" applyFill="1" applyBorder="1"/>
    <xf numFmtId="4" fontId="0" fillId="0" borderId="1" xfId="0" applyNumberForma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Time</a:t>
            </a:r>
            <a:r>
              <a:rPr lang="en-ID" baseline="0"/>
              <a:t> Series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Jember!$C$2:$C$26</c:f>
              <c:numCache>
                <c:formatCode>General</c:formatCode>
                <c:ptCount val="25"/>
                <c:pt idx="0">
                  <c:v>19834.575000000001</c:v>
                </c:pt>
                <c:pt idx="1">
                  <c:v>20647.9385</c:v>
                </c:pt>
                <c:pt idx="2">
                  <c:v>21576.919500000004</c:v>
                </c:pt>
                <c:pt idx="3">
                  <c:v>22623.762999999999</c:v>
                </c:pt>
                <c:pt idx="4">
                  <c:v>23777.244000000002</c:v>
                </c:pt>
                <c:pt idx="5">
                  <c:v>25062.057500000003</c:v>
                </c:pt>
                <c:pt idx="6">
                  <c:v>26477.754500000003</c:v>
                </c:pt>
                <c:pt idx="7">
                  <c:v>28071.030999999999</c:v>
                </c:pt>
                <c:pt idx="8">
                  <c:v>29670.817999999999</c:v>
                </c:pt>
                <c:pt idx="9">
                  <c:v>31406.427500000002</c:v>
                </c:pt>
                <c:pt idx="10" formatCode="#,##0.00">
                  <c:v>33341.199999999997</c:v>
                </c:pt>
                <c:pt idx="11" formatCode="#,##0.00">
                  <c:v>35492</c:v>
                </c:pt>
                <c:pt idx="12" formatCode="#,##0.00">
                  <c:v>37701.1</c:v>
                </c:pt>
                <c:pt idx="13" formatCode="#,##0.00">
                  <c:v>39887.449999999997</c:v>
                </c:pt>
                <c:pt idx="14" formatCode="#,##0.00">
                  <c:v>42001.2</c:v>
                </c:pt>
                <c:pt idx="15" formatCode="#,##0.00">
                  <c:v>44183.5</c:v>
                </c:pt>
                <c:pt idx="16" formatCode="#,##0.00">
                  <c:v>46460.88</c:v>
                </c:pt>
                <c:pt idx="17" formatCode="#,##0.00">
                  <c:v>48819.3</c:v>
                </c:pt>
                <c:pt idx="18" formatCode="#,##0.00">
                  <c:v>51372.55</c:v>
                </c:pt>
                <c:pt idx="19" formatCode="#,##0.00">
                  <c:v>54204.1</c:v>
                </c:pt>
                <c:pt idx="20" formatCode="#,##0.00">
                  <c:v>52589.05</c:v>
                </c:pt>
                <c:pt idx="21" formatCode="#,##0.00">
                  <c:v>54692.3</c:v>
                </c:pt>
                <c:pt idx="22" formatCode="#,##0.00">
                  <c:v>57164.800000000003</c:v>
                </c:pt>
                <c:pt idx="23" formatCode="#,##0.00">
                  <c:v>59985.120000000003</c:v>
                </c:pt>
                <c:pt idx="24" formatCode="#,##0.00">
                  <c:v>62894.5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0D-4A64-B774-C0167EBC5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295791"/>
        <c:axId val="963291631"/>
      </c:lineChart>
      <c:catAx>
        <c:axId val="963295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291631"/>
        <c:crosses val="autoZero"/>
        <c:auto val="1"/>
        <c:lblAlgn val="ctr"/>
        <c:lblOffset val="100"/>
        <c:noMultiLvlLbl val="0"/>
      </c:catAx>
      <c:valAx>
        <c:axId val="9632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29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Bondowoso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Bondowoso!$B$2:$B$26</c:f>
              <c:numCache>
                <c:formatCode>General</c:formatCode>
                <c:ptCount val="25"/>
                <c:pt idx="0">
                  <c:v>4776.1877352494121</c:v>
                </c:pt>
                <c:pt idx="1">
                  <c:v>4976.9740334392709</c:v>
                </c:pt>
                <c:pt idx="2">
                  <c:v>5201.6064266961448</c:v>
                </c:pt>
                <c:pt idx="3">
                  <c:v>5455.420342683432</c:v>
                </c:pt>
                <c:pt idx="4">
                  <c:v>5723.9339063147718</c:v>
                </c:pt>
                <c:pt idx="5">
                  <c:v>6011.067023628575</c:v>
                </c:pt>
                <c:pt idx="6">
                  <c:v>6327.3816636727925</c:v>
                </c:pt>
                <c:pt idx="7">
                  <c:v>6675.2079928147014</c:v>
                </c:pt>
                <c:pt idx="8">
                  <c:v>7045.2471228409559</c:v>
                </c:pt>
                <c:pt idx="9">
                  <c:v>7447.4948141495088</c:v>
                </c:pt>
                <c:pt idx="10" formatCode="#,##0.00">
                  <c:v>7880.1</c:v>
                </c:pt>
                <c:pt idx="11" formatCode="#,##0.00">
                  <c:v>8384.5</c:v>
                </c:pt>
                <c:pt idx="12" formatCode="#,##0.00">
                  <c:v>8908.4</c:v>
                </c:pt>
                <c:pt idx="13" formatCode="#,##0.00">
                  <c:v>9452.1</c:v>
                </c:pt>
                <c:pt idx="14" formatCode="#,##0.00">
                  <c:v>9981.5</c:v>
                </c:pt>
                <c:pt idx="15" formatCode="#,##0.00">
                  <c:v>10525.15</c:v>
                </c:pt>
                <c:pt idx="16" formatCode="#,##0.00">
                  <c:v>11064.28</c:v>
                </c:pt>
                <c:pt idx="17" formatCode="#,##0.00">
                  <c:v>11634.12</c:v>
                </c:pt>
                <c:pt idx="18" formatCode="#,##0.00">
                  <c:v>12250.55</c:v>
                </c:pt>
                <c:pt idx="19" formatCode="#,##0.00">
                  <c:v>12918.43</c:v>
                </c:pt>
                <c:pt idx="20" formatCode="#,##0.00">
                  <c:v>12699.85</c:v>
                </c:pt>
                <c:pt idx="21" formatCode="#,##0.00">
                  <c:v>13105.24</c:v>
                </c:pt>
                <c:pt idx="22" formatCode="#,##0.00">
                  <c:v>13545.52</c:v>
                </c:pt>
                <c:pt idx="23" formatCode="#,##0.00">
                  <c:v>14180.14</c:v>
                </c:pt>
                <c:pt idx="24" formatCode="#,##0.00">
                  <c:v>14845.6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1-4C5D-B9E8-AFBE4C01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224863"/>
        <c:axId val="385226527"/>
      </c:lineChart>
      <c:catAx>
        <c:axId val="385224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226527"/>
        <c:crosses val="autoZero"/>
        <c:auto val="1"/>
        <c:lblAlgn val="ctr"/>
        <c:lblOffset val="100"/>
        <c:noMultiLvlLbl val="0"/>
      </c:catAx>
      <c:valAx>
        <c:axId val="38522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22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Plot Time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Situbondo!$B$2:$B$26</c:f>
              <c:numCache>
                <c:formatCode>General</c:formatCode>
                <c:ptCount val="25"/>
                <c:pt idx="0">
                  <c:v>5384.0778676842447</c:v>
                </c:pt>
                <c:pt idx="1">
                  <c:v>5633.8728564203948</c:v>
                </c:pt>
                <c:pt idx="2">
                  <c:v>5902.9626407981241</c:v>
                </c:pt>
                <c:pt idx="3">
                  <c:v>6194.6667555514696</c:v>
                </c:pt>
                <c:pt idx="4">
                  <c:v>6515.4167992276225</c:v>
                </c:pt>
                <c:pt idx="5">
                  <c:v>6857.1214059123722</c:v>
                </c:pt>
                <c:pt idx="6">
                  <c:v>7231.3989471748437</c:v>
                </c:pt>
                <c:pt idx="7">
                  <c:v>7635.3448301227536</c:v>
                </c:pt>
                <c:pt idx="8">
                  <c:v>8081.8222518504908</c:v>
                </c:pt>
                <c:pt idx="9">
                  <c:v>8538.46574870121</c:v>
                </c:pt>
                <c:pt idx="10" formatCode="#,##0.00">
                  <c:v>9025.4</c:v>
                </c:pt>
                <c:pt idx="11" formatCode="#,##0.00">
                  <c:v>9585.5</c:v>
                </c:pt>
                <c:pt idx="12" formatCode="#,##0.00">
                  <c:v>10156.799999999999</c:v>
                </c:pt>
                <c:pt idx="13" formatCode="#,##0.00">
                  <c:v>10725.1</c:v>
                </c:pt>
                <c:pt idx="14" formatCode="#,##0.00">
                  <c:v>11294.4</c:v>
                </c:pt>
                <c:pt idx="15" formatCode="#,##0.00">
                  <c:v>11872.5</c:v>
                </c:pt>
                <c:pt idx="16" formatCode="#,##0.00">
                  <c:v>12454.2</c:v>
                </c:pt>
                <c:pt idx="17" formatCode="#,##0.00">
                  <c:v>13070.8</c:v>
                </c:pt>
                <c:pt idx="18" formatCode="#,##0.00">
                  <c:v>13725.5</c:v>
                </c:pt>
                <c:pt idx="19" formatCode="#,##0.00">
                  <c:v>14418.2</c:v>
                </c:pt>
                <c:pt idx="20" formatCode="#,##0.00">
                  <c:v>14082.1</c:v>
                </c:pt>
                <c:pt idx="21" formatCode="#,##0.00">
                  <c:v>14581.8</c:v>
                </c:pt>
                <c:pt idx="22" formatCode="#,##0.00">
                  <c:v>15220.5</c:v>
                </c:pt>
                <c:pt idx="23" formatCode="#,##0.00">
                  <c:v>15954.12</c:v>
                </c:pt>
                <c:pt idx="24" formatCode="#,##0.00">
                  <c:v>16730.400000000001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43-460D-99F5-249E0C9FB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987711"/>
        <c:axId val="312988127"/>
      </c:lineChart>
      <c:catAx>
        <c:axId val="312987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88127"/>
        <c:crosses val="autoZero"/>
        <c:auto val="1"/>
        <c:lblAlgn val="ctr"/>
        <c:lblOffset val="100"/>
        <c:noMultiLvlLbl val="0"/>
      </c:catAx>
      <c:valAx>
        <c:axId val="31298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8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Plot</a:t>
            </a:r>
            <a:r>
              <a:rPr lang="en-ID" baseline="0"/>
              <a:t> Time Series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Lumajang!$B$2:$B$26</c:f>
              <c:numCache>
                <c:formatCode>General</c:formatCode>
                <c:ptCount val="25"/>
                <c:pt idx="0">
                  <c:v>8543.7582513628822</c:v>
                </c:pt>
                <c:pt idx="1">
                  <c:v>8954.5116956032234</c:v>
                </c:pt>
                <c:pt idx="2">
                  <c:v>9419.3971172078691</c:v>
                </c:pt>
                <c:pt idx="3">
                  <c:v>9917.1947810500133</c:v>
                </c:pt>
                <c:pt idx="4">
                  <c:v>10448.554270858023</c:v>
                </c:pt>
                <c:pt idx="5">
                  <c:v>11021.703647191278</c:v>
                </c:pt>
                <c:pt idx="6">
                  <c:v>11645.737082246978</c:v>
                </c:pt>
                <c:pt idx="7">
                  <c:v>12309.828180552266</c:v>
                </c:pt>
                <c:pt idx="8">
                  <c:v>13025.236393398911</c:v>
                </c:pt>
                <c:pt idx="9">
                  <c:v>13788.930330054516</c:v>
                </c:pt>
                <c:pt idx="10" formatCode="#,##0.00">
                  <c:v>14616.5</c:v>
                </c:pt>
                <c:pt idx="11" formatCode="#,##0.00">
                  <c:v>15515.8</c:v>
                </c:pt>
                <c:pt idx="12" formatCode="#,##0.00">
                  <c:v>16423.2</c:v>
                </c:pt>
                <c:pt idx="13" formatCode="#,##0.00">
                  <c:v>17318.5</c:v>
                </c:pt>
                <c:pt idx="14" formatCode="#,##0.00">
                  <c:v>18201.099999999999</c:v>
                </c:pt>
                <c:pt idx="15" formatCode="#,##0.00">
                  <c:v>19096.400000000001</c:v>
                </c:pt>
                <c:pt idx="16" formatCode="#,##0.00">
                  <c:v>20028.5</c:v>
                </c:pt>
                <c:pt idx="17" formatCode="#,##0.00">
                  <c:v>21019.8</c:v>
                </c:pt>
                <c:pt idx="18" formatCode="#,##0.00">
                  <c:v>22075.1</c:v>
                </c:pt>
                <c:pt idx="19" formatCode="#,##0.00">
                  <c:v>23212.400000000001</c:v>
                </c:pt>
                <c:pt idx="20" formatCode="#,##0.00">
                  <c:v>22596.5</c:v>
                </c:pt>
                <c:pt idx="21" formatCode="#,##0.00">
                  <c:v>23466.799999999999</c:v>
                </c:pt>
                <c:pt idx="22" formatCode="#,##0.00">
                  <c:v>24535.1</c:v>
                </c:pt>
                <c:pt idx="23" formatCode="#,##0.00">
                  <c:v>25740.22</c:v>
                </c:pt>
                <c:pt idx="24" formatCode="#,##0.00">
                  <c:v>27015.5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E-4494-8283-761A30254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478575"/>
        <c:axId val="323478159"/>
      </c:lineChart>
      <c:catAx>
        <c:axId val="323478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478159"/>
        <c:crosses val="autoZero"/>
        <c:auto val="1"/>
        <c:lblAlgn val="ctr"/>
        <c:lblOffset val="100"/>
        <c:noMultiLvlLbl val="0"/>
      </c:catAx>
      <c:valAx>
        <c:axId val="32347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47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Plot Time</a:t>
            </a:r>
            <a:r>
              <a:rPr lang="en-ID" baseline="0"/>
              <a:t> Series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Banyuwangi!$B$2:$B$26</c:f>
              <c:numCache>
                <c:formatCode>General</c:formatCode>
                <c:ptCount val="25"/>
                <c:pt idx="0">
                  <c:v>18595.521990754401</c:v>
                </c:pt>
                <c:pt idx="1">
                  <c:v>19716.731949772136</c:v>
                </c:pt>
                <c:pt idx="2">
                  <c:v>20891.322398609882</c:v>
                </c:pt>
                <c:pt idx="3">
                  <c:v>22144.116363397919</c:v>
                </c:pt>
                <c:pt idx="4">
                  <c:v>23472.258097767288</c:v>
                </c:pt>
                <c:pt idx="5">
                  <c:v>24889.367315169995</c:v>
                </c:pt>
                <c:pt idx="6">
                  <c:v>26394.784997213206</c:v>
                </c:pt>
                <c:pt idx="7">
                  <c:v>27999.055438182353</c:v>
                </c:pt>
                <c:pt idx="8">
                  <c:v>29700.640928494147</c:v>
                </c:pt>
                <c:pt idx="9">
                  <c:v>31523.485803088424</c:v>
                </c:pt>
                <c:pt idx="10" formatCode="#,##0.00">
                  <c:v>33501.199999999997</c:v>
                </c:pt>
                <c:pt idx="11" formatCode="#,##0.00">
                  <c:v>35880.5</c:v>
                </c:pt>
                <c:pt idx="12" formatCode="#,##0.00">
                  <c:v>38375.1</c:v>
                </c:pt>
                <c:pt idx="13" formatCode="#,##0.00">
                  <c:v>40908.5</c:v>
                </c:pt>
                <c:pt idx="14" formatCode="#,##0.00">
                  <c:v>43465.2</c:v>
                </c:pt>
                <c:pt idx="15" formatCode="#,##0.00">
                  <c:v>46080.4</c:v>
                </c:pt>
                <c:pt idx="16" formatCode="#,##0.00">
                  <c:v>48732.1</c:v>
                </c:pt>
                <c:pt idx="17" formatCode="#,##0.00">
                  <c:v>51462.5</c:v>
                </c:pt>
                <c:pt idx="18" formatCode="#,##0.00">
                  <c:v>54468.2</c:v>
                </c:pt>
                <c:pt idx="19" formatCode="#,##0.00">
                  <c:v>57492.4</c:v>
                </c:pt>
                <c:pt idx="20" formatCode="#,##0.00">
                  <c:v>55435.5</c:v>
                </c:pt>
                <c:pt idx="21" formatCode="#,##0.00">
                  <c:v>57698.2</c:v>
                </c:pt>
                <c:pt idx="22" formatCode="#,##0.00">
                  <c:v>60254.8</c:v>
                </c:pt>
                <c:pt idx="23" formatCode="#,##0.00">
                  <c:v>63285.15</c:v>
                </c:pt>
                <c:pt idx="24" formatCode="#,##0.00">
                  <c:v>66520.399999999994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7-4FAA-B8D0-F025F8ED4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267743"/>
        <c:axId val="326269407"/>
      </c:lineChart>
      <c:catAx>
        <c:axId val="32626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69407"/>
        <c:crosses val="autoZero"/>
        <c:auto val="1"/>
        <c:lblAlgn val="ctr"/>
        <c:lblOffset val="100"/>
        <c:noMultiLvlLbl val="0"/>
      </c:catAx>
      <c:valAx>
        <c:axId val="32626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6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604092</xdr:colOff>
      <xdr:row>3</xdr:row>
      <xdr:rowOff>15692</xdr:rowOff>
    </xdr:from>
    <xdr:to>
      <xdr:col>22</xdr:col>
      <xdr:colOff>288957</xdr:colOff>
      <xdr:row>17</xdr:row>
      <xdr:rowOff>135802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543A79-D8CB-4C3C-8EB2-8A08433A4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13158</xdr:colOff>
      <xdr:row>3</xdr:row>
      <xdr:rowOff>22851</xdr:rowOff>
    </xdr:from>
    <xdr:to>
      <xdr:col>14</xdr:col>
      <xdr:colOff>233880</xdr:colOff>
      <xdr:row>28</xdr:row>
      <xdr:rowOff>112522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8BA8F-A4F8-441A-A766-3F6F5C75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3930" y="566059"/>
          <a:ext cx="6248821" cy="46314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22861</xdr:colOff>
      <xdr:row>3</xdr:row>
      <xdr:rowOff>184342</xdr:rowOff>
    </xdr:from>
    <xdr:to>
      <xdr:col>22</xdr:col>
      <xdr:colOff>607369</xdr:colOff>
      <xdr:row>18</xdr:row>
      <xdr:rowOff>184342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061787-C70E-48FD-8524-F48F946BB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53881</xdr:colOff>
      <xdr:row>3</xdr:row>
      <xdr:rowOff>53879</xdr:rowOff>
    </xdr:from>
    <xdr:to>
      <xdr:col>14</xdr:col>
      <xdr:colOff>455879</xdr:colOff>
      <xdr:row>29</xdr:row>
      <xdr:rowOff>30787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15AA3-39EE-490E-BD0A-52E49F50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5639" y="608061"/>
          <a:ext cx="6297876" cy="47952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312420</xdr:colOff>
      <xdr:row>2</xdr:row>
      <xdr:rowOff>179070</xdr:rowOff>
    </xdr:from>
    <xdr:to>
      <xdr:col>20</xdr:col>
      <xdr:colOff>7620</xdr:colOff>
      <xdr:row>17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CAAD3C-0856-4314-B914-E88396644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</xdr:row>
      <xdr:rowOff>0</xdr:rowOff>
    </xdr:from>
    <xdr:to>
      <xdr:col>12</xdr:col>
      <xdr:colOff>156131</xdr:colOff>
      <xdr:row>25</xdr:row>
      <xdr:rowOff>71845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54F1E-449B-4A6B-B528-E932E2C23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8514" y="522514"/>
          <a:ext cx="5490131" cy="3918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498185</xdr:colOff>
      <xdr:row>3</xdr:row>
      <xdr:rowOff>157306</xdr:rowOff>
    </xdr:from>
    <xdr:to>
      <xdr:col>20</xdr:col>
      <xdr:colOff>172490</xdr:colOff>
      <xdr:row>18</xdr:row>
      <xdr:rowOff>157305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345D0-F94A-4CBA-A0DC-87EA60599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8283</xdr:colOff>
      <xdr:row>3</xdr:row>
      <xdr:rowOff>107674</xdr:rowOff>
    </xdr:from>
    <xdr:to>
      <xdr:col>13</xdr:col>
      <xdr:colOff>270781</xdr:colOff>
      <xdr:row>25</xdr:row>
      <xdr:rowOff>99391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01B135-3503-4C97-9BD2-D0E6DDCC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24370" y="654326"/>
          <a:ext cx="5422563" cy="40170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499319</xdr:colOff>
      <xdr:row>3</xdr:row>
      <xdr:rowOff>25862</xdr:rowOff>
    </xdr:from>
    <xdr:to>
      <xdr:col>21</xdr:col>
      <xdr:colOff>190508</xdr:colOff>
      <xdr:row>18</xdr:row>
      <xdr:rowOff>25862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3D21B-37B0-44A2-9C69-DB3EC7F5D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</xdr:row>
      <xdr:rowOff>48637</xdr:rowOff>
    </xdr:from>
    <xdr:to>
      <xdr:col>14</xdr:col>
      <xdr:colOff>151880</xdr:colOff>
      <xdr:row>27</xdr:row>
      <xdr:rowOff>16211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D1B26-B988-4D07-9A3E-63FA6F60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7234" y="607977"/>
          <a:ext cx="5907412" cy="4450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1ED1-5667-4395-8C42-57CE7D24259A}">
  <dimension ref="A1:U27"/>
  <sheetViews>
    <sheetView tabSelected="1" zoomScale="101" workbookViewId="0">
      <selection activeCell="G2" sqref="G2:H3"/>
    </sheetView>
  </sheetViews>
  <sheetFormatPr defaultRowHeight="14.4" x14ac:dyDescent="0.3"/>
  <cols>
    <col min="1" max="1" width="9" bestFit="1" customWidth="1"/>
    <col min="2" max="2" width="9.77734375" bestFit="1" customWidth="1"/>
    <col min="3" max="3" width="17.33203125" bestFit="1" customWidth="1"/>
    <col min="4" max="4" width="3.44140625" customWidth="1"/>
    <col min="5" max="5" width="10.6640625" bestFit="1" customWidth="1"/>
    <col min="6" max="6" width="2.21875" customWidth="1"/>
    <col min="7" max="7" width="12.6640625" bestFit="1" customWidth="1"/>
    <col min="16" max="16" width="4.6640625" customWidth="1"/>
    <col min="18" max="18" width="13.88671875" bestFit="1" customWidth="1"/>
    <col min="19" max="20" width="11" bestFit="1" customWidth="1"/>
    <col min="21" max="21" width="12.6640625" bestFit="1" customWidth="1"/>
  </cols>
  <sheetData>
    <row r="1" spans="1:8" x14ac:dyDescent="0.3">
      <c r="A1" s="4" t="s">
        <v>2</v>
      </c>
      <c r="B1" s="4" t="s">
        <v>3</v>
      </c>
      <c r="C1" s="8" t="s">
        <v>4</v>
      </c>
    </row>
    <row r="2" spans="1:8" x14ac:dyDescent="0.3">
      <c r="A2" s="4">
        <v>2000</v>
      </c>
      <c r="B2" s="9">
        <v>8835</v>
      </c>
      <c r="C2" s="8">
        <f>B2*$E$3</f>
        <v>19834.575000000001</v>
      </c>
      <c r="D2" s="1"/>
      <c r="E2" t="s">
        <v>0</v>
      </c>
      <c r="G2" s="14" t="s">
        <v>23</v>
      </c>
      <c r="H2" s="14"/>
    </row>
    <row r="3" spans="1:8" x14ac:dyDescent="0.3">
      <c r="A3" s="4">
        <v>2001</v>
      </c>
      <c r="B3" s="9">
        <v>9197.2999999999993</v>
      </c>
      <c r="C3" s="8">
        <f t="shared" ref="C3:C11" si="0">B3*$E$3</f>
        <v>20647.9385</v>
      </c>
      <c r="D3" s="1"/>
      <c r="E3" s="2">
        <v>2.2450000000000001</v>
      </c>
      <c r="F3" s="2"/>
      <c r="G3" t="s">
        <v>22</v>
      </c>
      <c r="H3" s="3">
        <v>1.6199999999999999E-2</v>
      </c>
    </row>
    <row r="4" spans="1:8" x14ac:dyDescent="0.3">
      <c r="A4" s="4">
        <v>2002</v>
      </c>
      <c r="B4" s="9">
        <v>9611.1</v>
      </c>
      <c r="C4" s="8">
        <f t="shared" si="0"/>
        <v>21576.919500000004</v>
      </c>
      <c r="D4" s="1"/>
    </row>
    <row r="5" spans="1:8" x14ac:dyDescent="0.3">
      <c r="A5" s="4">
        <v>2003</v>
      </c>
      <c r="B5" s="9">
        <v>10077.4</v>
      </c>
      <c r="C5" s="8">
        <f t="shared" si="0"/>
        <v>22623.762999999999</v>
      </c>
      <c r="D5" s="1"/>
    </row>
    <row r="6" spans="1:8" x14ac:dyDescent="0.3">
      <c r="A6" s="4">
        <v>2004</v>
      </c>
      <c r="B6" s="9">
        <v>10591.2</v>
      </c>
      <c r="C6" s="8">
        <f t="shared" si="0"/>
        <v>23777.244000000002</v>
      </c>
      <c r="D6" s="1"/>
    </row>
    <row r="7" spans="1:8" x14ac:dyDescent="0.3">
      <c r="A7" s="4">
        <v>2005</v>
      </c>
      <c r="B7" s="9">
        <v>11163.5</v>
      </c>
      <c r="C7" s="8">
        <f t="shared" si="0"/>
        <v>25062.057500000003</v>
      </c>
      <c r="D7" s="1"/>
    </row>
    <row r="8" spans="1:8" x14ac:dyDescent="0.3">
      <c r="A8" s="4">
        <v>2006</v>
      </c>
      <c r="B8" s="9">
        <v>11794.1</v>
      </c>
      <c r="C8" s="8">
        <f t="shared" si="0"/>
        <v>26477.754500000003</v>
      </c>
      <c r="D8" s="1"/>
    </row>
    <row r="9" spans="1:8" x14ac:dyDescent="0.3">
      <c r="A9" s="4">
        <v>2007</v>
      </c>
      <c r="B9" s="9">
        <v>12503.8</v>
      </c>
      <c r="C9" s="8">
        <f t="shared" si="0"/>
        <v>28071.030999999999</v>
      </c>
      <c r="D9" s="1"/>
    </row>
    <row r="10" spans="1:8" x14ac:dyDescent="0.3">
      <c r="A10" s="4">
        <v>2008</v>
      </c>
      <c r="B10" s="9">
        <v>13216.4</v>
      </c>
      <c r="C10" s="8">
        <f t="shared" si="0"/>
        <v>29670.817999999999</v>
      </c>
      <c r="D10" s="1"/>
    </row>
    <row r="11" spans="1:8" x14ac:dyDescent="0.3">
      <c r="A11" s="4">
        <v>2009</v>
      </c>
      <c r="B11" s="9">
        <v>13989.5</v>
      </c>
      <c r="C11" s="8">
        <f t="shared" si="0"/>
        <v>31406.427500000002</v>
      </c>
      <c r="D11" s="1"/>
    </row>
    <row r="12" spans="1:8" x14ac:dyDescent="0.3">
      <c r="A12" s="4">
        <v>2010</v>
      </c>
      <c r="B12" s="11">
        <v>33341.199999999997</v>
      </c>
      <c r="C12" s="10">
        <v>33341.199999999997</v>
      </c>
      <c r="D12" s="1"/>
    </row>
    <row r="13" spans="1:8" x14ac:dyDescent="0.3">
      <c r="A13" s="4">
        <v>2011</v>
      </c>
      <c r="B13" s="11">
        <v>35492</v>
      </c>
      <c r="C13" s="10">
        <v>35492</v>
      </c>
      <c r="D13" s="1"/>
    </row>
    <row r="14" spans="1:8" x14ac:dyDescent="0.3">
      <c r="A14" s="4">
        <v>2012</v>
      </c>
      <c r="B14" s="11">
        <v>37701.1</v>
      </c>
      <c r="C14" s="10">
        <v>37701.1</v>
      </c>
      <c r="D14" s="1"/>
    </row>
    <row r="15" spans="1:8" x14ac:dyDescent="0.3">
      <c r="A15" s="4">
        <v>2013</v>
      </c>
      <c r="B15" s="11">
        <v>39887.449999999997</v>
      </c>
      <c r="C15" s="10">
        <v>39887.449999999997</v>
      </c>
      <c r="D15" s="1"/>
    </row>
    <row r="16" spans="1:8" x14ac:dyDescent="0.3">
      <c r="A16" s="4">
        <v>2014</v>
      </c>
      <c r="B16" s="11">
        <v>42001.2</v>
      </c>
      <c r="C16" s="10">
        <v>42001.2</v>
      </c>
      <c r="D16" s="1"/>
    </row>
    <row r="17" spans="1:21" x14ac:dyDescent="0.3">
      <c r="A17" s="4">
        <v>2015</v>
      </c>
      <c r="B17" s="11">
        <v>44183.5</v>
      </c>
      <c r="C17" s="10">
        <v>44183.5</v>
      </c>
    </row>
    <row r="18" spans="1:21" x14ac:dyDescent="0.3">
      <c r="A18" s="4">
        <v>2016</v>
      </c>
      <c r="B18" s="11">
        <v>46460.88</v>
      </c>
      <c r="C18" s="10">
        <v>46460.88</v>
      </c>
    </row>
    <row r="19" spans="1:21" x14ac:dyDescent="0.3">
      <c r="A19" s="4">
        <v>2017</v>
      </c>
      <c r="B19" s="11">
        <v>48819.3</v>
      </c>
      <c r="C19" s="10">
        <v>48819.3</v>
      </c>
    </row>
    <row r="20" spans="1:21" ht="15.6" x14ac:dyDescent="0.3">
      <c r="A20" s="4">
        <v>2018</v>
      </c>
      <c r="B20" s="11">
        <v>51372.55</v>
      </c>
      <c r="C20" s="10">
        <v>51372.55</v>
      </c>
      <c r="Q20" s="13" t="s">
        <v>21</v>
      </c>
      <c r="R20" s="13"/>
      <c r="S20" s="13"/>
      <c r="T20" s="13"/>
      <c r="U20" s="13"/>
    </row>
    <row r="21" spans="1:21" x14ac:dyDescent="0.3">
      <c r="A21" s="4">
        <v>2019</v>
      </c>
      <c r="B21" s="11">
        <v>54204.1</v>
      </c>
      <c r="C21" s="10">
        <v>54204.1</v>
      </c>
      <c r="Q21" s="7" t="s">
        <v>2</v>
      </c>
      <c r="R21" s="7" t="s">
        <v>5</v>
      </c>
      <c r="S21" s="7" t="s">
        <v>6</v>
      </c>
      <c r="T21" s="7" t="s">
        <v>7</v>
      </c>
      <c r="U21" s="7" t="s">
        <v>20</v>
      </c>
    </row>
    <row r="22" spans="1:21" x14ac:dyDescent="0.3">
      <c r="A22" s="4">
        <v>2020</v>
      </c>
      <c r="B22" s="11">
        <v>52589.05</v>
      </c>
      <c r="C22" s="10">
        <v>52589.05</v>
      </c>
      <c r="Q22" s="4">
        <v>2025</v>
      </c>
      <c r="R22" s="4" t="s">
        <v>8</v>
      </c>
      <c r="S22" s="4" t="s">
        <v>12</v>
      </c>
      <c r="T22" s="4" t="s">
        <v>16</v>
      </c>
      <c r="U22" s="5">
        <v>4.9099999999999998E-2</v>
      </c>
    </row>
    <row r="23" spans="1:21" x14ac:dyDescent="0.3">
      <c r="A23" s="4">
        <v>2021</v>
      </c>
      <c r="B23" s="11">
        <v>54692.3</v>
      </c>
      <c r="C23" s="10">
        <v>54692.3</v>
      </c>
      <c r="Q23" s="4">
        <v>2026</v>
      </c>
      <c r="R23" s="4" t="s">
        <v>9</v>
      </c>
      <c r="S23" s="4" t="s">
        <v>13</v>
      </c>
      <c r="T23" s="4" t="s">
        <v>17</v>
      </c>
      <c r="U23" s="5">
        <v>4.9200000000000001E-2</v>
      </c>
    </row>
    <row r="24" spans="1:21" x14ac:dyDescent="0.3">
      <c r="A24" s="4">
        <v>2022</v>
      </c>
      <c r="B24" s="11">
        <v>57164.800000000003</v>
      </c>
      <c r="C24" s="10">
        <v>57164.800000000003</v>
      </c>
      <c r="Q24" s="4">
        <v>2027</v>
      </c>
      <c r="R24" s="4" t="s">
        <v>10</v>
      </c>
      <c r="S24" s="4" t="s">
        <v>14</v>
      </c>
      <c r="T24" s="4" t="s">
        <v>18</v>
      </c>
      <c r="U24" s="5">
        <v>4.9200000000000001E-2</v>
      </c>
    </row>
    <row r="25" spans="1:21" x14ac:dyDescent="0.3">
      <c r="A25" s="4">
        <v>2023</v>
      </c>
      <c r="B25" s="11">
        <v>59985.120000000003</v>
      </c>
      <c r="C25" s="10">
        <v>59985.120000000003</v>
      </c>
      <c r="Q25" s="4">
        <v>2028</v>
      </c>
      <c r="R25" s="4" t="s">
        <v>11</v>
      </c>
      <c r="S25" s="6" t="s">
        <v>15</v>
      </c>
      <c r="T25" s="4" t="s">
        <v>19</v>
      </c>
      <c r="U25" s="5">
        <v>4.9200000000000001E-2</v>
      </c>
    </row>
    <row r="26" spans="1:21" x14ac:dyDescent="0.3">
      <c r="A26" s="4">
        <v>2024</v>
      </c>
      <c r="B26" s="11">
        <v>62894.5</v>
      </c>
      <c r="C26" s="10">
        <v>62894.5</v>
      </c>
    </row>
    <row r="27" spans="1:21" x14ac:dyDescent="0.3">
      <c r="B27" s="1"/>
    </row>
  </sheetData>
  <mergeCells count="2">
    <mergeCell ref="Q20:U20"/>
    <mergeCell ref="G2:H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83CB-986C-4C11-9D53-DFB3C7F68209}">
  <dimension ref="A1:U26"/>
  <sheetViews>
    <sheetView topLeftCell="L14" zoomScale="99" workbookViewId="0">
      <selection activeCell="Q21" sqref="Q21:U26"/>
    </sheetView>
  </sheetViews>
  <sheetFormatPr defaultRowHeight="14.4" x14ac:dyDescent="0.3"/>
  <cols>
    <col min="2" max="2" width="24.44140625" bestFit="1" customWidth="1"/>
    <col min="3" max="3" width="23.5546875" customWidth="1"/>
    <col min="4" max="4" width="3.88671875" customWidth="1"/>
    <col min="5" max="5" width="12.6640625" customWidth="1"/>
    <col min="6" max="6" width="2.33203125" customWidth="1"/>
    <col min="16" max="16" width="4" customWidth="1"/>
    <col min="18" max="18" width="13.6640625" bestFit="1" customWidth="1"/>
    <col min="19" max="19" width="10.6640625" bestFit="1" customWidth="1"/>
    <col min="20" max="20" width="10.5546875" bestFit="1" customWidth="1"/>
    <col min="21" max="21" width="12" bestFit="1" customWidth="1"/>
  </cols>
  <sheetData>
    <row r="1" spans="1:8" x14ac:dyDescent="0.3">
      <c r="A1" s="4" t="s">
        <v>2</v>
      </c>
      <c r="B1" s="4" t="s">
        <v>4</v>
      </c>
      <c r="C1" s="4" t="s">
        <v>3</v>
      </c>
    </row>
    <row r="2" spans="1:8" x14ac:dyDescent="0.3">
      <c r="A2" s="4">
        <v>2000</v>
      </c>
      <c r="B2" s="8">
        <f>C2*$E$3</f>
        <v>4776.1877352494121</v>
      </c>
      <c r="C2" s="12">
        <v>2193.1999999999998</v>
      </c>
      <c r="E2" t="s">
        <v>0</v>
      </c>
      <c r="G2" s="14" t="s">
        <v>23</v>
      </c>
      <c r="H2" s="14"/>
    </row>
    <row r="3" spans="1:8" x14ac:dyDescent="0.3">
      <c r="A3" s="4">
        <v>2001</v>
      </c>
      <c r="B3" s="8">
        <f t="shared" ref="B3:B11" si="0">C3*$E$3</f>
        <v>4976.9740334392709</v>
      </c>
      <c r="C3" s="12">
        <v>2285.4</v>
      </c>
      <c r="E3">
        <f>B12/C12</f>
        <v>2.177725576896504</v>
      </c>
      <c r="G3" t="s">
        <v>22</v>
      </c>
      <c r="H3" s="3">
        <v>7.79E-3</v>
      </c>
    </row>
    <row r="4" spans="1:8" x14ac:dyDescent="0.3">
      <c r="A4" s="4">
        <v>2002</v>
      </c>
      <c r="B4" s="8">
        <f t="shared" si="0"/>
        <v>5201.6064266961448</v>
      </c>
      <c r="C4" s="12">
        <v>2388.5500000000002</v>
      </c>
      <c r="H4" t="s">
        <v>1</v>
      </c>
    </row>
    <row r="5" spans="1:8" x14ac:dyDescent="0.3">
      <c r="A5" s="4">
        <v>2003</v>
      </c>
      <c r="B5" s="8">
        <f t="shared" si="0"/>
        <v>5455.420342683432</v>
      </c>
      <c r="C5" s="12">
        <v>2505.1</v>
      </c>
    </row>
    <row r="6" spans="1:8" x14ac:dyDescent="0.3">
      <c r="A6" s="4">
        <v>2004</v>
      </c>
      <c r="B6" s="8">
        <f t="shared" si="0"/>
        <v>5723.9339063147718</v>
      </c>
      <c r="C6" s="12">
        <v>2628.4</v>
      </c>
    </row>
    <row r="7" spans="1:8" x14ac:dyDescent="0.3">
      <c r="A7" s="4">
        <v>2005</v>
      </c>
      <c r="B7" s="8">
        <f t="shared" si="0"/>
        <v>6011.067023628575</v>
      </c>
      <c r="C7" s="12">
        <v>2760.25</v>
      </c>
      <c r="E7" t="s">
        <v>1</v>
      </c>
    </row>
    <row r="8" spans="1:8" x14ac:dyDescent="0.3">
      <c r="A8" s="4">
        <v>2006</v>
      </c>
      <c r="B8" s="8">
        <f t="shared" si="0"/>
        <v>6327.3816636727925</v>
      </c>
      <c r="C8" s="12">
        <v>2905.5</v>
      </c>
    </row>
    <row r="9" spans="1:8" x14ac:dyDescent="0.3">
      <c r="A9" s="4">
        <v>2007</v>
      </c>
      <c r="B9" s="8">
        <f t="shared" si="0"/>
        <v>6675.2079928147014</v>
      </c>
      <c r="C9" s="12">
        <v>3065.22</v>
      </c>
    </row>
    <row r="10" spans="1:8" x14ac:dyDescent="0.3">
      <c r="A10" s="4">
        <v>2008</v>
      </c>
      <c r="B10" s="8">
        <f t="shared" si="0"/>
        <v>7045.2471228409559</v>
      </c>
      <c r="C10" s="12">
        <v>3235.14</v>
      </c>
    </row>
    <row r="11" spans="1:8" x14ac:dyDescent="0.3">
      <c r="A11" s="4">
        <v>2009</v>
      </c>
      <c r="B11" s="8">
        <f t="shared" si="0"/>
        <v>7447.4948141495088</v>
      </c>
      <c r="C11" s="12">
        <v>3419.85</v>
      </c>
    </row>
    <row r="12" spans="1:8" x14ac:dyDescent="0.3">
      <c r="A12" s="4">
        <v>2010</v>
      </c>
      <c r="B12" s="10">
        <v>7880.1</v>
      </c>
      <c r="C12" s="12">
        <v>3618.5</v>
      </c>
    </row>
    <row r="13" spans="1:8" x14ac:dyDescent="0.3">
      <c r="A13" s="4">
        <v>2011</v>
      </c>
      <c r="B13" s="10">
        <v>8384.5</v>
      </c>
      <c r="C13" s="11">
        <v>8384.5</v>
      </c>
    </row>
    <row r="14" spans="1:8" x14ac:dyDescent="0.3">
      <c r="A14" s="4">
        <v>2012</v>
      </c>
      <c r="B14" s="10">
        <v>8908.4</v>
      </c>
      <c r="C14" s="11">
        <v>8908.4</v>
      </c>
    </row>
    <row r="15" spans="1:8" x14ac:dyDescent="0.3">
      <c r="A15" s="4">
        <v>2013</v>
      </c>
      <c r="B15" s="10">
        <v>9452.1</v>
      </c>
      <c r="C15" s="11">
        <v>9452.1</v>
      </c>
    </row>
    <row r="16" spans="1:8" x14ac:dyDescent="0.3">
      <c r="A16" s="4">
        <v>2014</v>
      </c>
      <c r="B16" s="10">
        <v>9981.5</v>
      </c>
      <c r="C16" s="11">
        <v>9981.5</v>
      </c>
    </row>
    <row r="17" spans="1:21" x14ac:dyDescent="0.3">
      <c r="A17" s="4">
        <v>2015</v>
      </c>
      <c r="B17" s="10">
        <v>10525.15</v>
      </c>
      <c r="C17" s="11">
        <v>10525.15</v>
      </c>
    </row>
    <row r="18" spans="1:21" x14ac:dyDescent="0.3">
      <c r="A18" s="4">
        <v>2016</v>
      </c>
      <c r="B18" s="10">
        <v>11064.28</v>
      </c>
      <c r="C18" s="11">
        <v>11064.28</v>
      </c>
    </row>
    <row r="19" spans="1:21" x14ac:dyDescent="0.3">
      <c r="A19" s="4">
        <v>2017</v>
      </c>
      <c r="B19" s="10">
        <v>11634.12</v>
      </c>
      <c r="C19" s="11">
        <v>11634.12</v>
      </c>
    </row>
    <row r="20" spans="1:21" x14ac:dyDescent="0.3">
      <c r="A20" s="4">
        <v>2018</v>
      </c>
      <c r="B20" s="10">
        <v>12250.55</v>
      </c>
      <c r="C20" s="11">
        <v>12250.55</v>
      </c>
    </row>
    <row r="21" spans="1:21" ht="15.6" x14ac:dyDescent="0.3">
      <c r="A21" s="4">
        <v>2019</v>
      </c>
      <c r="B21" s="10">
        <v>12918.43</v>
      </c>
      <c r="C21" s="11">
        <v>12918.43</v>
      </c>
      <c r="Q21" s="13" t="s">
        <v>21</v>
      </c>
      <c r="R21" s="13"/>
      <c r="S21" s="13"/>
      <c r="T21" s="13"/>
      <c r="U21" s="13"/>
    </row>
    <row r="22" spans="1:21" x14ac:dyDescent="0.3">
      <c r="A22" s="4">
        <v>2020</v>
      </c>
      <c r="B22" s="10">
        <v>12699.85</v>
      </c>
      <c r="C22" s="11">
        <v>12699.85</v>
      </c>
      <c r="Q22" s="7" t="s">
        <v>2</v>
      </c>
      <c r="R22" s="7" t="s">
        <v>5</v>
      </c>
      <c r="S22" s="7" t="s">
        <v>6</v>
      </c>
      <c r="T22" s="7" t="s">
        <v>7</v>
      </c>
      <c r="U22" s="7" t="s">
        <v>20</v>
      </c>
    </row>
    <row r="23" spans="1:21" x14ac:dyDescent="0.3">
      <c r="A23" s="4">
        <v>2021</v>
      </c>
      <c r="B23" s="10">
        <v>13105.24</v>
      </c>
      <c r="C23" s="11">
        <v>13105.24</v>
      </c>
      <c r="Q23" s="4">
        <v>2025</v>
      </c>
      <c r="R23" s="4" t="s">
        <v>24</v>
      </c>
      <c r="S23" s="4" t="s">
        <v>28</v>
      </c>
      <c r="T23" s="4" t="s">
        <v>32</v>
      </c>
      <c r="U23" s="5">
        <v>4.7899999999999998E-2</v>
      </c>
    </row>
    <row r="24" spans="1:21" x14ac:dyDescent="0.3">
      <c r="A24" s="4">
        <v>2022</v>
      </c>
      <c r="B24" s="10">
        <v>13545.52</v>
      </c>
      <c r="C24" s="11">
        <v>13545.52</v>
      </c>
      <c r="Q24" s="4">
        <v>2026</v>
      </c>
      <c r="R24" s="4" t="s">
        <v>25</v>
      </c>
      <c r="S24" s="4" t="s">
        <v>29</v>
      </c>
      <c r="T24" s="4" t="s">
        <v>33</v>
      </c>
      <c r="U24" s="5">
        <v>4.8300000000000003E-2</v>
      </c>
    </row>
    <row r="25" spans="1:21" x14ac:dyDescent="0.3">
      <c r="A25" s="4">
        <v>2023</v>
      </c>
      <c r="B25" s="10">
        <v>14180.14</v>
      </c>
      <c r="C25" s="11">
        <v>14180.14</v>
      </c>
      <c r="Q25" s="4">
        <v>2027</v>
      </c>
      <c r="R25" s="4" t="s">
        <v>26</v>
      </c>
      <c r="S25" s="4" t="s">
        <v>30</v>
      </c>
      <c r="T25" s="4" t="s">
        <v>34</v>
      </c>
      <c r="U25" s="5">
        <v>4.8300000000000003E-2</v>
      </c>
    </row>
    <row r="26" spans="1:21" x14ac:dyDescent="0.3">
      <c r="A26" s="4">
        <v>2024</v>
      </c>
      <c r="B26" s="10">
        <v>14845.6</v>
      </c>
      <c r="C26" s="11">
        <v>14845.6</v>
      </c>
      <c r="Q26" s="4">
        <v>2028</v>
      </c>
      <c r="R26" s="4" t="s">
        <v>27</v>
      </c>
      <c r="S26" s="6" t="s">
        <v>31</v>
      </c>
      <c r="T26" s="4" t="s">
        <v>34</v>
      </c>
      <c r="U26" s="5">
        <v>4.8300000000000003E-2</v>
      </c>
    </row>
  </sheetData>
  <mergeCells count="2">
    <mergeCell ref="Q21:U21"/>
    <mergeCell ref="G2:H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B1DA-5409-4DE9-8956-D9D996CB517F}">
  <dimension ref="A1:R39"/>
  <sheetViews>
    <sheetView workbookViewId="0">
      <selection activeCell="O2" sqref="O2"/>
    </sheetView>
  </sheetViews>
  <sheetFormatPr defaultRowHeight="14.4" x14ac:dyDescent="0.3"/>
  <cols>
    <col min="2" max="2" width="17.21875" bestFit="1" customWidth="1"/>
    <col min="3" max="3" width="9.88671875" customWidth="1"/>
    <col min="4" max="4" width="5.21875" customWidth="1"/>
    <col min="5" max="5" width="13.5546875" customWidth="1"/>
    <col min="6" max="6" width="10.88671875" bestFit="1" customWidth="1"/>
    <col min="15" max="15" width="13.5546875" bestFit="1" customWidth="1"/>
    <col min="16" max="16" width="10.5546875" bestFit="1" customWidth="1"/>
    <col min="17" max="17" width="10.44140625" bestFit="1" customWidth="1"/>
    <col min="18" max="18" width="11.88671875" bestFit="1" customWidth="1"/>
  </cols>
  <sheetData>
    <row r="1" spans="1:8" x14ac:dyDescent="0.3">
      <c r="A1" s="4" t="s">
        <v>2</v>
      </c>
      <c r="B1" s="4" t="s">
        <v>4</v>
      </c>
      <c r="C1" s="4" t="s">
        <v>35</v>
      </c>
    </row>
    <row r="2" spans="1:8" x14ac:dyDescent="0.3">
      <c r="A2" s="4">
        <v>2000</v>
      </c>
      <c r="B2" s="8">
        <f>C2*$E$3</f>
        <v>5384.0778676842447</v>
      </c>
      <c r="C2" s="12">
        <v>2595.1</v>
      </c>
      <c r="D2" s="1"/>
      <c r="E2" t="s">
        <v>0</v>
      </c>
      <c r="F2" s="14" t="s">
        <v>23</v>
      </c>
      <c r="G2" s="14"/>
    </row>
    <row r="3" spans="1:8" x14ac:dyDescent="0.3">
      <c r="A3" s="4">
        <v>2001</v>
      </c>
      <c r="B3" s="8">
        <f t="shared" ref="B3:B11" si="0">C3*$E$3</f>
        <v>5633.8728564203948</v>
      </c>
      <c r="C3" s="12">
        <v>2715.5</v>
      </c>
      <c r="D3" s="1"/>
      <c r="E3">
        <f>B12/C12</f>
        <v>2.0747092087720107</v>
      </c>
      <c r="F3" t="s">
        <v>22</v>
      </c>
      <c r="G3" s="3">
        <v>1.814E-2</v>
      </c>
    </row>
    <row r="4" spans="1:8" x14ac:dyDescent="0.3">
      <c r="A4" s="4">
        <v>2002</v>
      </c>
      <c r="B4" s="8">
        <f t="shared" si="0"/>
        <v>5902.9626407981241</v>
      </c>
      <c r="C4" s="12">
        <v>2845.2</v>
      </c>
      <c r="D4" s="1"/>
    </row>
    <row r="5" spans="1:8" x14ac:dyDescent="0.3">
      <c r="A5" s="4">
        <v>2003</v>
      </c>
      <c r="B5" s="8">
        <f t="shared" si="0"/>
        <v>6194.6667555514696</v>
      </c>
      <c r="C5" s="12">
        <v>2985.8</v>
      </c>
      <c r="D5" s="1"/>
    </row>
    <row r="6" spans="1:8" x14ac:dyDescent="0.3">
      <c r="A6" s="4">
        <v>2004</v>
      </c>
      <c r="B6" s="8">
        <f t="shared" si="0"/>
        <v>6515.4167992276225</v>
      </c>
      <c r="C6" s="12">
        <v>3140.4</v>
      </c>
      <c r="D6" s="1"/>
    </row>
    <row r="7" spans="1:8" x14ac:dyDescent="0.3">
      <c r="A7" s="4">
        <v>2005</v>
      </c>
      <c r="B7" s="8">
        <f t="shared" si="0"/>
        <v>6857.1214059123722</v>
      </c>
      <c r="C7" s="12">
        <v>3305.1</v>
      </c>
      <c r="D7" s="1"/>
    </row>
    <row r="8" spans="1:8" x14ac:dyDescent="0.3">
      <c r="A8" s="4">
        <v>2006</v>
      </c>
      <c r="B8" s="8">
        <f t="shared" si="0"/>
        <v>7231.3989471748437</v>
      </c>
      <c r="C8" s="12">
        <v>3485.5</v>
      </c>
      <c r="D8" s="1"/>
    </row>
    <row r="9" spans="1:8" x14ac:dyDescent="0.3">
      <c r="A9" s="4">
        <v>2007</v>
      </c>
      <c r="B9" s="8">
        <f t="shared" si="0"/>
        <v>7635.3448301227536</v>
      </c>
      <c r="C9" s="12">
        <v>3680.2</v>
      </c>
      <c r="D9" s="1"/>
    </row>
    <row r="10" spans="1:8" x14ac:dyDescent="0.3">
      <c r="A10" s="4">
        <v>2008</v>
      </c>
      <c r="B10" s="8">
        <f t="shared" si="0"/>
        <v>8081.8222518504908</v>
      </c>
      <c r="C10" s="12">
        <v>3895.4</v>
      </c>
      <c r="D10" s="1"/>
    </row>
    <row r="11" spans="1:8" x14ac:dyDescent="0.3">
      <c r="A11" s="4">
        <v>2009</v>
      </c>
      <c r="B11" s="8">
        <f t="shared" si="0"/>
        <v>8538.46574870121</v>
      </c>
      <c r="C11" s="12">
        <v>4115.5</v>
      </c>
      <c r="D11" s="1"/>
    </row>
    <row r="12" spans="1:8" x14ac:dyDescent="0.3">
      <c r="A12" s="4">
        <v>2010</v>
      </c>
      <c r="B12" s="10">
        <v>9025.4</v>
      </c>
      <c r="C12" s="12">
        <v>4350.2</v>
      </c>
      <c r="D12" s="1"/>
    </row>
    <row r="13" spans="1:8" x14ac:dyDescent="0.3">
      <c r="A13" s="4">
        <v>2011</v>
      </c>
      <c r="B13" s="10">
        <v>9585.5</v>
      </c>
      <c r="C13" s="11">
        <v>9585.5</v>
      </c>
    </row>
    <row r="14" spans="1:8" x14ac:dyDescent="0.3">
      <c r="A14" s="4">
        <v>2012</v>
      </c>
      <c r="B14" s="10">
        <v>10156.799999999999</v>
      </c>
      <c r="C14" s="11">
        <v>10156.799999999999</v>
      </c>
    </row>
    <row r="15" spans="1:8" x14ac:dyDescent="0.3">
      <c r="A15" s="4">
        <v>2013</v>
      </c>
      <c r="B15" s="10">
        <v>10725.1</v>
      </c>
      <c r="C15" s="11">
        <v>10725.1</v>
      </c>
    </row>
    <row r="16" spans="1:8" x14ac:dyDescent="0.3">
      <c r="A16" s="4">
        <v>2014</v>
      </c>
      <c r="B16" s="10">
        <v>11294.4</v>
      </c>
      <c r="C16" s="11">
        <v>11294.4</v>
      </c>
      <c r="H16" s="3"/>
    </row>
    <row r="17" spans="1:18" x14ac:dyDescent="0.3">
      <c r="A17" s="4">
        <v>2015</v>
      </c>
      <c r="B17" s="10">
        <v>11872.5</v>
      </c>
      <c r="C17" s="11">
        <v>11872.5</v>
      </c>
      <c r="H17" s="3"/>
    </row>
    <row r="18" spans="1:18" x14ac:dyDescent="0.3">
      <c r="A18" s="4">
        <v>2016</v>
      </c>
      <c r="B18" s="10">
        <v>12454.2</v>
      </c>
      <c r="C18" s="11">
        <v>12454.2</v>
      </c>
      <c r="H18" s="3"/>
    </row>
    <row r="19" spans="1:18" x14ac:dyDescent="0.3">
      <c r="A19" s="4">
        <v>2017</v>
      </c>
      <c r="B19" s="10">
        <v>13070.8</v>
      </c>
      <c r="C19" s="11">
        <v>13070.8</v>
      </c>
      <c r="H19" s="3"/>
    </row>
    <row r="20" spans="1:18" ht="15.6" x14ac:dyDescent="0.3">
      <c r="A20" s="4">
        <v>2018</v>
      </c>
      <c r="B20" s="10">
        <v>13725.5</v>
      </c>
      <c r="C20" s="11">
        <v>13725.5</v>
      </c>
      <c r="H20" s="3"/>
      <c r="N20" s="13" t="s">
        <v>21</v>
      </c>
      <c r="O20" s="13"/>
      <c r="P20" s="13"/>
      <c r="Q20" s="13"/>
      <c r="R20" s="13"/>
    </row>
    <row r="21" spans="1:18" x14ac:dyDescent="0.3">
      <c r="A21" s="4">
        <v>2019</v>
      </c>
      <c r="B21" s="10">
        <v>14418.2</v>
      </c>
      <c r="C21" s="11">
        <v>14418.2</v>
      </c>
      <c r="H21" s="3"/>
      <c r="N21" s="7" t="s">
        <v>2</v>
      </c>
      <c r="O21" s="7" t="s">
        <v>5</v>
      </c>
      <c r="P21" s="7" t="s">
        <v>6</v>
      </c>
      <c r="Q21" s="7" t="s">
        <v>7</v>
      </c>
      <c r="R21" s="7" t="s">
        <v>20</v>
      </c>
    </row>
    <row r="22" spans="1:18" x14ac:dyDescent="0.3">
      <c r="A22" s="4">
        <v>2020</v>
      </c>
      <c r="B22" s="10">
        <v>14082.1</v>
      </c>
      <c r="C22" s="11">
        <v>14082.1</v>
      </c>
      <c r="H22" s="3"/>
      <c r="N22" s="4">
        <v>2025</v>
      </c>
      <c r="O22" s="4" t="s">
        <v>48</v>
      </c>
      <c r="P22" s="4" t="s">
        <v>52</v>
      </c>
      <c r="Q22" s="4" t="s">
        <v>56</v>
      </c>
      <c r="R22" s="5">
        <v>4.8399999999999999E-2</v>
      </c>
    </row>
    <row r="23" spans="1:18" x14ac:dyDescent="0.3">
      <c r="A23" s="4">
        <v>2021</v>
      </c>
      <c r="B23" s="10">
        <v>14581.8</v>
      </c>
      <c r="C23" s="11">
        <v>14581.8</v>
      </c>
      <c r="H23" s="3"/>
      <c r="N23" s="4">
        <v>2026</v>
      </c>
      <c r="O23" s="4" t="s">
        <v>49</v>
      </c>
      <c r="P23" s="4" t="s">
        <v>53</v>
      </c>
      <c r="Q23" s="4" t="s">
        <v>57</v>
      </c>
      <c r="R23" s="5">
        <v>4.8399999999999999E-2</v>
      </c>
    </row>
    <row r="24" spans="1:18" x14ac:dyDescent="0.3">
      <c r="A24" s="4">
        <v>2022</v>
      </c>
      <c r="B24" s="10">
        <v>15220.5</v>
      </c>
      <c r="C24" s="11">
        <v>15220.5</v>
      </c>
      <c r="H24" s="3"/>
      <c r="N24" s="4">
        <v>2027</v>
      </c>
      <c r="O24" s="4" t="s">
        <v>50</v>
      </c>
      <c r="P24" s="4" t="s">
        <v>54</v>
      </c>
      <c r="Q24" s="4" t="s">
        <v>58</v>
      </c>
      <c r="R24" s="5">
        <v>4.8399999999999999E-2</v>
      </c>
    </row>
    <row r="25" spans="1:18" x14ac:dyDescent="0.3">
      <c r="A25" s="4">
        <v>2023</v>
      </c>
      <c r="B25" s="10">
        <v>15954.12</v>
      </c>
      <c r="C25" s="11">
        <v>15954.12</v>
      </c>
      <c r="H25" s="3"/>
      <c r="N25" s="4">
        <v>2028</v>
      </c>
      <c r="O25" s="4" t="s">
        <v>51</v>
      </c>
      <c r="P25" s="6" t="s">
        <v>55</v>
      </c>
      <c r="Q25" s="4" t="s">
        <v>59</v>
      </c>
      <c r="R25" s="5">
        <v>4.8399999999999999E-2</v>
      </c>
    </row>
    <row r="26" spans="1:18" x14ac:dyDescent="0.3">
      <c r="A26" s="4">
        <v>2024</v>
      </c>
      <c r="B26" s="10">
        <v>16730.400000000001</v>
      </c>
      <c r="C26" s="11">
        <v>16730.400000000001</v>
      </c>
      <c r="H26" s="3"/>
    </row>
    <row r="27" spans="1:18" x14ac:dyDescent="0.3">
      <c r="F27" s="3"/>
      <c r="H27" s="3"/>
    </row>
    <row r="28" spans="1:18" x14ac:dyDescent="0.3">
      <c r="F28" s="3"/>
      <c r="H28" s="3"/>
    </row>
    <row r="29" spans="1:18" x14ac:dyDescent="0.3">
      <c r="F29" s="3"/>
    </row>
    <row r="30" spans="1:18" x14ac:dyDescent="0.3">
      <c r="F30" s="3"/>
    </row>
    <row r="31" spans="1:18" x14ac:dyDescent="0.3">
      <c r="F31" s="3"/>
    </row>
    <row r="32" spans="1:18" x14ac:dyDescent="0.3">
      <c r="F32" s="3"/>
    </row>
    <row r="33" spans="6:6" x14ac:dyDescent="0.3">
      <c r="F33" s="3"/>
    </row>
    <row r="34" spans="6:6" x14ac:dyDescent="0.3">
      <c r="F34" s="3"/>
    </row>
    <row r="35" spans="6:6" x14ac:dyDescent="0.3">
      <c r="F35" s="3"/>
    </row>
    <row r="36" spans="6:6" x14ac:dyDescent="0.3">
      <c r="F36" s="3"/>
    </row>
    <row r="37" spans="6:6" x14ac:dyDescent="0.3">
      <c r="F37" s="3"/>
    </row>
    <row r="38" spans="6:6" x14ac:dyDescent="0.3">
      <c r="F38" s="3"/>
    </row>
    <row r="39" spans="6:6" x14ac:dyDescent="0.3">
      <c r="F39" s="3"/>
    </row>
  </sheetData>
  <mergeCells count="2">
    <mergeCell ref="F2:G2"/>
    <mergeCell ref="N20:R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5F9C-928F-45BB-996B-3B704187EAA7}">
  <dimension ref="A1:S26"/>
  <sheetViews>
    <sheetView zoomScale="92" workbookViewId="0">
      <selection activeCell="O21" sqref="O21:S26"/>
    </sheetView>
  </sheetViews>
  <sheetFormatPr defaultRowHeight="14.4" x14ac:dyDescent="0.3"/>
  <cols>
    <col min="2" max="2" width="17.21875" bestFit="1" customWidth="1"/>
    <col min="3" max="3" width="10.44140625" customWidth="1"/>
    <col min="4" max="4" width="4.44140625" customWidth="1"/>
    <col min="5" max="5" width="10.5546875" bestFit="1" customWidth="1"/>
    <col min="6" max="6" width="2.21875" customWidth="1"/>
    <col min="14" max="14" width="6.109375" customWidth="1"/>
    <col min="16" max="16" width="13.6640625" bestFit="1" customWidth="1"/>
    <col min="17" max="17" width="10.77734375" bestFit="1" customWidth="1"/>
    <col min="18" max="18" width="10.88671875" bestFit="1" customWidth="1"/>
    <col min="19" max="19" width="12.6640625" bestFit="1" customWidth="1"/>
  </cols>
  <sheetData>
    <row r="1" spans="1:8" x14ac:dyDescent="0.3">
      <c r="A1" s="4" t="s">
        <v>2</v>
      </c>
      <c r="B1" s="4" t="s">
        <v>4</v>
      </c>
      <c r="C1" s="4" t="s">
        <v>35</v>
      </c>
    </row>
    <row r="2" spans="1:8" x14ac:dyDescent="0.3">
      <c r="A2" s="4">
        <v>2000</v>
      </c>
      <c r="B2" s="8">
        <f>C2*$E$3</f>
        <v>8543.7582513628822</v>
      </c>
      <c r="C2" s="12">
        <v>3945.8</v>
      </c>
      <c r="E2" t="s">
        <v>0</v>
      </c>
      <c r="G2" s="14" t="s">
        <v>23</v>
      </c>
      <c r="H2" s="14"/>
    </row>
    <row r="3" spans="1:8" x14ac:dyDescent="0.3">
      <c r="A3" s="4">
        <v>2001</v>
      </c>
      <c r="B3" s="8">
        <f t="shared" ref="B3:B11" si="0">C3*$E$3</f>
        <v>8954.5116956032234</v>
      </c>
      <c r="C3" s="12">
        <v>4135.5</v>
      </c>
      <c r="E3">
        <f>B12/C12</f>
        <v>2.1652790945721736</v>
      </c>
      <c r="G3" t="s">
        <v>22</v>
      </c>
      <c r="H3" s="3">
        <v>1.9810000000000001E-2</v>
      </c>
    </row>
    <row r="4" spans="1:8" x14ac:dyDescent="0.3">
      <c r="A4" s="4">
        <v>2002</v>
      </c>
      <c r="B4" s="8">
        <f t="shared" si="0"/>
        <v>9419.3971172078691</v>
      </c>
      <c r="C4" s="12">
        <v>4350.2</v>
      </c>
    </row>
    <row r="5" spans="1:8" x14ac:dyDescent="0.3">
      <c r="A5" s="4">
        <v>2003</v>
      </c>
      <c r="B5" s="8">
        <f t="shared" si="0"/>
        <v>9917.1947810500133</v>
      </c>
      <c r="C5" s="12">
        <v>4580.1000000000004</v>
      </c>
      <c r="G5" s="3"/>
    </row>
    <row r="6" spans="1:8" x14ac:dyDescent="0.3">
      <c r="A6" s="4">
        <v>2004</v>
      </c>
      <c r="B6" s="8">
        <f t="shared" si="0"/>
        <v>10448.554270858023</v>
      </c>
      <c r="C6" s="12">
        <v>4825.5</v>
      </c>
      <c r="G6" s="3"/>
    </row>
    <row r="7" spans="1:8" x14ac:dyDescent="0.3">
      <c r="A7" s="4">
        <v>2005</v>
      </c>
      <c r="B7" s="8">
        <f t="shared" si="0"/>
        <v>11021.703647191278</v>
      </c>
      <c r="C7" s="12">
        <v>5090.2</v>
      </c>
      <c r="G7" s="3"/>
    </row>
    <row r="8" spans="1:8" x14ac:dyDescent="0.3">
      <c r="A8" s="4">
        <v>2006</v>
      </c>
      <c r="B8" s="8">
        <f t="shared" si="0"/>
        <v>11645.737082246978</v>
      </c>
      <c r="C8" s="12">
        <v>5378.4</v>
      </c>
      <c r="G8" s="3"/>
    </row>
    <row r="9" spans="1:8" x14ac:dyDescent="0.3">
      <c r="A9" s="4">
        <v>2007</v>
      </c>
      <c r="B9" s="8">
        <f t="shared" si="0"/>
        <v>12309.828180552266</v>
      </c>
      <c r="C9" s="12">
        <v>5685.1</v>
      </c>
      <c r="G9" s="3"/>
    </row>
    <row r="10" spans="1:8" x14ac:dyDescent="0.3">
      <c r="A10" s="4">
        <v>2008</v>
      </c>
      <c r="B10" s="8">
        <f t="shared" si="0"/>
        <v>13025.236393398911</v>
      </c>
      <c r="C10" s="12">
        <v>6015.5</v>
      </c>
      <c r="G10" s="3"/>
    </row>
    <row r="11" spans="1:8" x14ac:dyDescent="0.3">
      <c r="A11" s="4">
        <v>2009</v>
      </c>
      <c r="B11" s="8">
        <f t="shared" si="0"/>
        <v>13788.930330054516</v>
      </c>
      <c r="C11" s="12">
        <v>6368.2</v>
      </c>
      <c r="G11" s="3"/>
    </row>
    <row r="12" spans="1:8" x14ac:dyDescent="0.3">
      <c r="A12" s="4">
        <v>2010</v>
      </c>
      <c r="B12" s="10">
        <v>14616.5</v>
      </c>
      <c r="C12" s="12">
        <v>6750.4</v>
      </c>
      <c r="G12" s="3"/>
    </row>
    <row r="13" spans="1:8" x14ac:dyDescent="0.3">
      <c r="A13" s="4">
        <v>2011</v>
      </c>
      <c r="B13" s="10">
        <v>15515.8</v>
      </c>
      <c r="C13" s="11">
        <v>15515.8</v>
      </c>
      <c r="G13" s="3"/>
    </row>
    <row r="14" spans="1:8" x14ac:dyDescent="0.3">
      <c r="A14" s="4">
        <v>2012</v>
      </c>
      <c r="B14" s="10">
        <v>16423.2</v>
      </c>
      <c r="C14" s="11">
        <v>16423.2</v>
      </c>
      <c r="G14" s="3"/>
    </row>
    <row r="15" spans="1:8" x14ac:dyDescent="0.3">
      <c r="A15" s="4">
        <v>2013</v>
      </c>
      <c r="B15" s="10">
        <v>17318.5</v>
      </c>
      <c r="C15" s="11">
        <v>17318.5</v>
      </c>
      <c r="G15" s="3"/>
    </row>
    <row r="16" spans="1:8" x14ac:dyDescent="0.3">
      <c r="A16" s="4">
        <v>2014</v>
      </c>
      <c r="B16" s="10">
        <v>18201.099999999999</v>
      </c>
      <c r="C16" s="11">
        <v>18201.099999999999</v>
      </c>
      <c r="G16" s="3"/>
    </row>
    <row r="17" spans="1:19" x14ac:dyDescent="0.3">
      <c r="A17" s="4">
        <v>2015</v>
      </c>
      <c r="B17" s="10">
        <v>19096.400000000001</v>
      </c>
      <c r="C17" s="11">
        <v>19096.400000000001</v>
      </c>
      <c r="G17" s="3"/>
    </row>
    <row r="18" spans="1:19" x14ac:dyDescent="0.3">
      <c r="A18" s="4">
        <v>2016</v>
      </c>
      <c r="B18" s="10">
        <v>20028.5</v>
      </c>
      <c r="C18" s="11">
        <v>20028.5</v>
      </c>
    </row>
    <row r="19" spans="1:19" x14ac:dyDescent="0.3">
      <c r="A19" s="4">
        <v>2017</v>
      </c>
      <c r="B19" s="10">
        <v>21019.8</v>
      </c>
      <c r="C19" s="11">
        <v>21019.8</v>
      </c>
    </row>
    <row r="20" spans="1:19" x14ac:dyDescent="0.3">
      <c r="A20" s="4">
        <v>2018</v>
      </c>
      <c r="B20" s="10">
        <v>22075.1</v>
      </c>
      <c r="C20" s="11">
        <v>22075.1</v>
      </c>
    </row>
    <row r="21" spans="1:19" ht="15.6" x14ac:dyDescent="0.3">
      <c r="A21" s="4">
        <v>2019</v>
      </c>
      <c r="B21" s="10">
        <v>23212.400000000001</v>
      </c>
      <c r="C21" s="11">
        <v>23212.400000000001</v>
      </c>
      <c r="O21" s="13" t="s">
        <v>21</v>
      </c>
      <c r="P21" s="13"/>
      <c r="Q21" s="13"/>
      <c r="R21" s="13"/>
      <c r="S21" s="13"/>
    </row>
    <row r="22" spans="1:19" x14ac:dyDescent="0.3">
      <c r="A22" s="4">
        <v>2020</v>
      </c>
      <c r="B22" s="10">
        <v>22596.5</v>
      </c>
      <c r="C22" s="11">
        <v>22596.5</v>
      </c>
      <c r="O22" s="7" t="s">
        <v>2</v>
      </c>
      <c r="P22" s="7" t="s">
        <v>5</v>
      </c>
      <c r="Q22" s="7" t="s">
        <v>6</v>
      </c>
      <c r="R22" s="7" t="s">
        <v>7</v>
      </c>
      <c r="S22" s="7" t="s">
        <v>20</v>
      </c>
    </row>
    <row r="23" spans="1:19" x14ac:dyDescent="0.3">
      <c r="A23" s="4">
        <v>2021</v>
      </c>
      <c r="B23" s="10">
        <v>23466.799999999999</v>
      </c>
      <c r="C23" s="11">
        <v>23466.799999999999</v>
      </c>
      <c r="O23" s="4">
        <v>2025</v>
      </c>
      <c r="P23" s="4" t="s">
        <v>36</v>
      </c>
      <c r="Q23" s="4" t="s">
        <v>40</v>
      </c>
      <c r="R23" s="4" t="s">
        <v>44</v>
      </c>
      <c r="S23" s="5">
        <v>4.9200000000000001E-2</v>
      </c>
    </row>
    <row r="24" spans="1:19" x14ac:dyDescent="0.3">
      <c r="A24" s="4">
        <v>2022</v>
      </c>
      <c r="B24" s="10">
        <v>24535.1</v>
      </c>
      <c r="C24" s="11">
        <v>24535.1</v>
      </c>
      <c r="O24" s="4">
        <v>2026</v>
      </c>
      <c r="P24" s="4" t="s">
        <v>37</v>
      </c>
      <c r="Q24" s="4" t="s">
        <v>41</v>
      </c>
      <c r="R24" s="4" t="s">
        <v>45</v>
      </c>
      <c r="S24" s="5">
        <v>4.9099999999999998E-2</v>
      </c>
    </row>
    <row r="25" spans="1:19" x14ac:dyDescent="0.3">
      <c r="A25" s="4">
        <v>2023</v>
      </c>
      <c r="B25" s="10">
        <v>25740.22</v>
      </c>
      <c r="C25" s="11">
        <v>25740.22</v>
      </c>
      <c r="O25" s="4">
        <v>2027</v>
      </c>
      <c r="P25" s="4" t="s">
        <v>38</v>
      </c>
      <c r="Q25" s="4" t="s">
        <v>42</v>
      </c>
      <c r="R25" s="4" t="s">
        <v>46</v>
      </c>
      <c r="S25" s="5">
        <v>4.9099999999999998E-2</v>
      </c>
    </row>
    <row r="26" spans="1:19" x14ac:dyDescent="0.3">
      <c r="A26" s="4">
        <v>2024</v>
      </c>
      <c r="B26" s="10">
        <v>27015.5</v>
      </c>
      <c r="C26" s="11">
        <v>27015.5</v>
      </c>
      <c r="O26" s="4">
        <v>2028</v>
      </c>
      <c r="P26" s="4" t="s">
        <v>39</v>
      </c>
      <c r="Q26" s="6" t="s">
        <v>43</v>
      </c>
      <c r="R26" s="4" t="s">
        <v>47</v>
      </c>
      <c r="S26" s="5">
        <v>4.9099999999999998E-2</v>
      </c>
    </row>
  </sheetData>
  <mergeCells count="2">
    <mergeCell ref="G2:H2"/>
    <mergeCell ref="O21:S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A56D-FED1-4A9E-BAEB-C24373629C99}">
  <dimension ref="A1:T26"/>
  <sheetViews>
    <sheetView zoomScale="94" zoomScaleNormal="25" workbookViewId="0">
      <selection activeCell="P29" sqref="P29"/>
    </sheetView>
  </sheetViews>
  <sheetFormatPr defaultRowHeight="14.4" x14ac:dyDescent="0.3"/>
  <cols>
    <col min="2" max="2" width="17.21875" bestFit="1" customWidth="1"/>
    <col min="3" max="3" width="11.44140625" customWidth="1"/>
    <col min="4" max="4" width="3.77734375" customWidth="1"/>
    <col min="5" max="5" width="10.6640625" customWidth="1"/>
    <col min="6" max="6" width="2.33203125" customWidth="1"/>
    <col min="15" max="15" width="4.88671875" customWidth="1"/>
    <col min="17" max="17" width="13.5546875" bestFit="1" customWidth="1"/>
    <col min="18" max="18" width="10.5546875" bestFit="1" customWidth="1"/>
    <col min="19" max="19" width="10.6640625" bestFit="1" customWidth="1"/>
    <col min="20" max="20" width="12.44140625" bestFit="1" customWidth="1"/>
  </cols>
  <sheetData>
    <row r="1" spans="1:8" x14ac:dyDescent="0.3">
      <c r="A1" s="4" t="s">
        <v>2</v>
      </c>
      <c r="B1" s="4" t="s">
        <v>4</v>
      </c>
      <c r="C1" s="4" t="s">
        <v>35</v>
      </c>
    </row>
    <row r="2" spans="1:8" x14ac:dyDescent="0.3">
      <c r="A2" s="4">
        <v>2000</v>
      </c>
      <c r="B2" s="8">
        <f>C2*$E$3</f>
        <v>18595.521990754401</v>
      </c>
      <c r="C2" s="12">
        <v>8465.1</v>
      </c>
      <c r="E2" t="s">
        <v>0</v>
      </c>
      <c r="G2" s="14" t="s">
        <v>23</v>
      </c>
      <c r="H2" s="14"/>
    </row>
    <row r="3" spans="1:8" x14ac:dyDescent="0.3">
      <c r="A3" s="4">
        <v>2001</v>
      </c>
      <c r="B3" s="8">
        <f t="shared" ref="B3:B11" si="0">C3*$E$3</f>
        <v>19716.731949772136</v>
      </c>
      <c r="C3" s="12">
        <v>8975.5</v>
      </c>
      <c r="E3">
        <f>B12/C12</f>
        <v>2.19672797613193</v>
      </c>
      <c r="G3" t="s">
        <v>22</v>
      </c>
      <c r="H3" s="3">
        <v>3.4599999999999999E-2</v>
      </c>
    </row>
    <row r="4" spans="1:8" x14ac:dyDescent="0.3">
      <c r="A4" s="4">
        <v>2002</v>
      </c>
      <c r="B4" s="8">
        <f t="shared" si="0"/>
        <v>20891.322398609882</v>
      </c>
      <c r="C4" s="12">
        <v>9510.2000000000007</v>
      </c>
    </row>
    <row r="5" spans="1:8" x14ac:dyDescent="0.3">
      <c r="A5" s="4">
        <v>2003</v>
      </c>
      <c r="B5" s="8">
        <f t="shared" si="0"/>
        <v>22144.116363397919</v>
      </c>
      <c r="C5" s="12">
        <v>10080.5</v>
      </c>
    </row>
    <row r="6" spans="1:8" x14ac:dyDescent="0.3">
      <c r="A6" s="4">
        <v>2004</v>
      </c>
      <c r="B6" s="8">
        <f t="shared" si="0"/>
        <v>23472.258097767288</v>
      </c>
      <c r="C6" s="12">
        <v>10685.1</v>
      </c>
    </row>
    <row r="7" spans="1:8" x14ac:dyDescent="0.3">
      <c r="A7" s="4">
        <v>2005</v>
      </c>
      <c r="B7" s="8">
        <f t="shared" si="0"/>
        <v>24889.367315169995</v>
      </c>
      <c r="C7" s="12">
        <v>11330.2</v>
      </c>
      <c r="G7" s="3"/>
    </row>
    <row r="8" spans="1:8" x14ac:dyDescent="0.3">
      <c r="A8" s="4">
        <v>2006</v>
      </c>
      <c r="B8" s="8">
        <f t="shared" si="0"/>
        <v>26394.784997213206</v>
      </c>
      <c r="C8" s="12">
        <v>12015.5</v>
      </c>
      <c r="G8" s="3"/>
    </row>
    <row r="9" spans="1:8" x14ac:dyDescent="0.3">
      <c r="A9" s="4">
        <v>2007</v>
      </c>
      <c r="B9" s="8">
        <f t="shared" si="0"/>
        <v>27999.055438182353</v>
      </c>
      <c r="C9" s="12">
        <v>12745.8</v>
      </c>
      <c r="G9" s="3"/>
    </row>
    <row r="10" spans="1:8" x14ac:dyDescent="0.3">
      <c r="A10" s="4">
        <v>2008</v>
      </c>
      <c r="B10" s="8">
        <f t="shared" si="0"/>
        <v>29700.640928494147</v>
      </c>
      <c r="C10" s="12">
        <v>13520.4</v>
      </c>
      <c r="G10" s="3"/>
    </row>
    <row r="11" spans="1:8" x14ac:dyDescent="0.3">
      <c r="A11" s="4">
        <v>2009</v>
      </c>
      <c r="B11" s="8">
        <f t="shared" si="0"/>
        <v>31523.485803088424</v>
      </c>
      <c r="C11" s="12">
        <v>14350.2</v>
      </c>
      <c r="G11" s="3"/>
    </row>
    <row r="12" spans="1:8" x14ac:dyDescent="0.3">
      <c r="A12" s="4">
        <v>2010</v>
      </c>
      <c r="B12" s="10">
        <v>33501.199999999997</v>
      </c>
      <c r="C12" s="12">
        <v>15250.5</v>
      </c>
      <c r="G12" s="3"/>
    </row>
    <row r="13" spans="1:8" x14ac:dyDescent="0.3">
      <c r="A13" s="4">
        <v>2011</v>
      </c>
      <c r="B13" s="10">
        <v>35880.5</v>
      </c>
      <c r="C13" s="11">
        <v>35880.5</v>
      </c>
      <c r="G13" s="3"/>
    </row>
    <row r="14" spans="1:8" x14ac:dyDescent="0.3">
      <c r="A14" s="4">
        <v>2012</v>
      </c>
      <c r="B14" s="10">
        <v>38375.1</v>
      </c>
      <c r="C14" s="11">
        <v>38375.1</v>
      </c>
      <c r="G14" s="3"/>
    </row>
    <row r="15" spans="1:8" x14ac:dyDescent="0.3">
      <c r="A15" s="4">
        <v>2013</v>
      </c>
      <c r="B15" s="10">
        <v>40908.5</v>
      </c>
      <c r="C15" s="11">
        <v>40908.5</v>
      </c>
      <c r="G15" s="3"/>
    </row>
    <row r="16" spans="1:8" x14ac:dyDescent="0.3">
      <c r="A16" s="4">
        <v>2014</v>
      </c>
      <c r="B16" s="10">
        <v>43465.2</v>
      </c>
      <c r="C16" s="11">
        <v>43465.2</v>
      </c>
      <c r="G16" s="3"/>
    </row>
    <row r="17" spans="1:20" x14ac:dyDescent="0.3">
      <c r="A17" s="4">
        <v>2015</v>
      </c>
      <c r="B17" s="10">
        <v>46080.4</v>
      </c>
      <c r="C17" s="11">
        <v>46080.4</v>
      </c>
      <c r="G17" s="3"/>
    </row>
    <row r="18" spans="1:20" x14ac:dyDescent="0.3">
      <c r="A18" s="4">
        <v>2016</v>
      </c>
      <c r="B18" s="10">
        <v>48732.1</v>
      </c>
      <c r="C18" s="11">
        <v>48732.1</v>
      </c>
      <c r="G18" s="3"/>
    </row>
    <row r="19" spans="1:20" x14ac:dyDescent="0.3">
      <c r="A19" s="4">
        <v>2017</v>
      </c>
      <c r="B19" s="10">
        <v>51462.5</v>
      </c>
      <c r="C19" s="11">
        <v>51462.5</v>
      </c>
      <c r="G19" s="3"/>
    </row>
    <row r="20" spans="1:20" ht="15.6" x14ac:dyDescent="0.3">
      <c r="A20" s="4">
        <v>2018</v>
      </c>
      <c r="B20" s="10">
        <v>54468.2</v>
      </c>
      <c r="C20" s="11">
        <v>54468.2</v>
      </c>
      <c r="P20" s="13" t="s">
        <v>21</v>
      </c>
      <c r="Q20" s="13"/>
      <c r="R20" s="13"/>
      <c r="S20" s="13"/>
      <c r="T20" s="13"/>
    </row>
    <row r="21" spans="1:20" x14ac:dyDescent="0.3">
      <c r="A21" s="4">
        <v>2019</v>
      </c>
      <c r="B21" s="10">
        <v>57492.4</v>
      </c>
      <c r="C21" s="11">
        <v>57492.4</v>
      </c>
      <c r="P21" s="7" t="s">
        <v>2</v>
      </c>
      <c r="Q21" s="7" t="s">
        <v>5</v>
      </c>
      <c r="R21" s="7" t="s">
        <v>6</v>
      </c>
      <c r="S21" s="7" t="s">
        <v>7</v>
      </c>
      <c r="T21" s="7" t="s">
        <v>20</v>
      </c>
    </row>
    <row r="22" spans="1:20" x14ac:dyDescent="0.3">
      <c r="A22" s="4">
        <v>2020</v>
      </c>
      <c r="B22" s="10">
        <v>55435.5</v>
      </c>
      <c r="C22" s="11">
        <v>55435.5</v>
      </c>
      <c r="P22" s="4">
        <v>2025</v>
      </c>
      <c r="Q22" s="4" t="s">
        <v>60</v>
      </c>
      <c r="R22" s="4" t="s">
        <v>64</v>
      </c>
      <c r="S22" s="4" t="s">
        <v>68</v>
      </c>
      <c r="T22" s="5">
        <v>5.3999999999999999E-2</v>
      </c>
    </row>
    <row r="23" spans="1:20" x14ac:dyDescent="0.3">
      <c r="A23" s="4">
        <v>2021</v>
      </c>
      <c r="B23" s="10">
        <v>57698.2</v>
      </c>
      <c r="C23" s="11">
        <v>57698.2</v>
      </c>
      <c r="P23" s="4">
        <v>2026</v>
      </c>
      <c r="Q23" s="4" t="s">
        <v>61</v>
      </c>
      <c r="R23" s="4" t="s">
        <v>65</v>
      </c>
      <c r="S23" s="4" t="s">
        <v>69</v>
      </c>
      <c r="T23" s="5">
        <v>5.4600000000000003E-2</v>
      </c>
    </row>
    <row r="24" spans="1:20" x14ac:dyDescent="0.3">
      <c r="A24" s="4">
        <v>2022</v>
      </c>
      <c r="B24" s="10">
        <v>60254.8</v>
      </c>
      <c r="C24" s="11">
        <v>60254.8</v>
      </c>
      <c r="P24" s="4">
        <v>2027</v>
      </c>
      <c r="Q24" s="4" t="s">
        <v>62</v>
      </c>
      <c r="R24" s="4" t="s">
        <v>66</v>
      </c>
      <c r="S24" s="4" t="s">
        <v>70</v>
      </c>
      <c r="T24" s="5">
        <v>5.4600000000000003E-2</v>
      </c>
    </row>
    <row r="25" spans="1:20" x14ac:dyDescent="0.3">
      <c r="A25" s="4">
        <v>2023</v>
      </c>
      <c r="B25" s="10">
        <v>63285.15</v>
      </c>
      <c r="C25" s="11">
        <v>63285.15</v>
      </c>
      <c r="P25" s="4">
        <v>2028</v>
      </c>
      <c r="Q25" s="4" t="s">
        <v>63</v>
      </c>
      <c r="R25" s="6" t="s">
        <v>67</v>
      </c>
      <c r="S25" s="4" t="s">
        <v>71</v>
      </c>
      <c r="T25" s="5">
        <v>5.4600000000000003E-2</v>
      </c>
    </row>
    <row r="26" spans="1:20" x14ac:dyDescent="0.3">
      <c r="A26" s="4">
        <v>2024</v>
      </c>
      <c r="B26" s="10">
        <v>66520.399999999994</v>
      </c>
      <c r="C26" s="11">
        <v>66520.399999999994</v>
      </c>
    </row>
  </sheetData>
  <mergeCells count="2">
    <mergeCell ref="G2:H2"/>
    <mergeCell ref="P20:T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Jember</vt:lpstr>
      <vt:lpstr>Bondowoso</vt:lpstr>
      <vt:lpstr>Situbondo</vt:lpstr>
      <vt:lpstr>Lumajang</vt:lpstr>
      <vt:lpstr>Banyuwangi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John Smith</cp:lastModifiedBy>
  <dcterms:created xsi:type="dcterms:W3CDTF">2026-02-02T06:49:40Z</dcterms:created>
  <dcterms:modified xsi:type="dcterms:W3CDTF">2026-03-03T08:51:54Z</dcterms:modified>
</cp:coreProperties>
</file>