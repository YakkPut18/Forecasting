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ARW\"/>
    </mc:Choice>
  </mc:AlternateContent>
  <xr:revisionPtr revIDLastSave="0" documentId="13_ncr:1_{435D4640-B6EC-4888-BEEB-92FE75B0149C}" xr6:coauthVersionLast="47" xr6:coauthVersionMax="47" xr10:uidLastSave="{00000000-0000-0000-0000-000000000000}"/>
  <bookViews>
    <workbookView xWindow="-108" yWindow="336" windowWidth="23256" windowHeight="12732" xr2:uid="{00000000-000D-0000-FFFF-FFFF00000000}"/>
  </bookViews>
  <sheets>
    <sheet name="Raw Data" sheetId="2" r:id="rId1"/>
    <sheet name="Split" sheetId="6" r:id="rId2"/>
    <sheet name="DES 5 tahun" sheetId="4" r:id="rId3"/>
    <sheet name="Exponential Smoothing" sheetId="3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5" i="4" l="1"/>
  <c r="AA5" i="4"/>
  <c r="AC5" i="4"/>
  <c r="AD5" i="4" s="1"/>
  <c r="AG5" i="4"/>
  <c r="AH5" i="4" s="1"/>
  <c r="W5" i="4"/>
  <c r="X5" i="4" s="1"/>
  <c r="Y6" i="4" s="1"/>
  <c r="Z6" i="4" s="1"/>
  <c r="S5" i="4"/>
  <c r="T5" i="4" s="1"/>
  <c r="Y5" i="4"/>
  <c r="Z5" i="4" s="1"/>
  <c r="U5" i="4"/>
  <c r="V5" i="4" s="1"/>
  <c r="O4" i="3"/>
  <c r="E4" i="5"/>
  <c r="F4" i="5" s="1"/>
  <c r="C4" i="5"/>
  <c r="Q5" i="4"/>
  <c r="R5" i="4" s="1"/>
  <c r="O5" i="4"/>
  <c r="D4" i="3"/>
  <c r="M5" i="4"/>
  <c r="N5" i="4" s="1"/>
  <c r="N2" i="4"/>
  <c r="M2" i="4"/>
  <c r="K5" i="4" s="1"/>
  <c r="I5" i="3"/>
  <c r="H4" i="3"/>
  <c r="G4" i="3"/>
  <c r="I5" i="4"/>
  <c r="J5" i="4" s="1"/>
  <c r="J2" i="4"/>
  <c r="I2" i="4"/>
  <c r="G5" i="4" s="1"/>
  <c r="E5" i="4"/>
  <c r="F5" i="4" s="1"/>
  <c r="F2" i="4"/>
  <c r="D5" i="4" s="1"/>
  <c r="E2" i="4"/>
  <c r="C5" i="4" s="1"/>
  <c r="C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4" i="3"/>
  <c r="L5" i="3"/>
  <c r="L4" i="3"/>
  <c r="M5" i="3" s="1"/>
  <c r="P4" i="3"/>
  <c r="M6" i="3"/>
  <c r="K5" i="3"/>
  <c r="K6" i="3" s="1"/>
  <c r="K4" i="3"/>
  <c r="M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4" i="3"/>
  <c r="P5" i="3"/>
  <c r="Q5" i="3"/>
  <c r="Q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4" i="3"/>
  <c r="H5" i="3"/>
  <c r="H6" i="3"/>
  <c r="I4" i="3"/>
  <c r="G5" i="3"/>
  <c r="G6" i="3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4" i="3"/>
  <c r="C5" i="3"/>
  <c r="C6" i="3" s="1"/>
  <c r="D5" i="3"/>
  <c r="E5" i="3"/>
  <c r="E4" i="3"/>
  <c r="U6" i="4" l="1"/>
  <c r="V6" i="4" s="1"/>
  <c r="S6" i="4"/>
  <c r="AF5" i="4"/>
  <c r="AG6" i="4" s="1"/>
  <c r="AH6" i="4" s="1"/>
  <c r="L5" i="4"/>
  <c r="K6" i="4" s="1"/>
  <c r="L6" i="4" s="1"/>
  <c r="M6" i="4"/>
  <c r="N6" i="4" s="1"/>
  <c r="W6" i="4"/>
  <c r="P5" i="4"/>
  <c r="O6" i="4" s="1"/>
  <c r="AB5" i="4"/>
  <c r="AA6" i="4" s="1"/>
  <c r="C5" i="5"/>
  <c r="D5" i="5" s="1"/>
  <c r="D4" i="5"/>
  <c r="E5" i="5" s="1"/>
  <c r="F5" i="5" s="1"/>
  <c r="E6" i="4"/>
  <c r="F6" i="4" s="1"/>
  <c r="H5" i="4"/>
  <c r="I6" i="4" s="1"/>
  <c r="J6" i="4" s="1"/>
  <c r="C6" i="4"/>
  <c r="L6" i="3"/>
  <c r="K7" i="3" s="1"/>
  <c r="O5" i="3"/>
  <c r="O6" i="3" s="1"/>
  <c r="Q6" i="3"/>
  <c r="G7" i="3"/>
  <c r="I7" i="3"/>
  <c r="I6" i="3"/>
  <c r="D6" i="3"/>
  <c r="C7" i="3" s="1"/>
  <c r="E6" i="3"/>
  <c r="AB6" i="4" l="1"/>
  <c r="AA7" i="4" s="1"/>
  <c r="P6" i="4"/>
  <c r="O7" i="4" s="1"/>
  <c r="AC6" i="4"/>
  <c r="AD6" i="4" s="1"/>
  <c r="Q6" i="4"/>
  <c r="R6" i="4" s="1"/>
  <c r="T6" i="4"/>
  <c r="S7" i="4" s="1"/>
  <c r="K7" i="4"/>
  <c r="M7" i="4"/>
  <c r="N7" i="4" s="1"/>
  <c r="AE6" i="4"/>
  <c r="X6" i="4"/>
  <c r="W7" i="4" s="1"/>
  <c r="Y7" i="4"/>
  <c r="Z7" i="4" s="1"/>
  <c r="E6" i="5"/>
  <c r="F6" i="5" s="1"/>
  <c r="C6" i="5"/>
  <c r="D6" i="5"/>
  <c r="E7" i="5" s="1"/>
  <c r="F7" i="5" s="1"/>
  <c r="G6" i="4"/>
  <c r="H6" i="4" s="1"/>
  <c r="G7" i="4" s="1"/>
  <c r="D6" i="4"/>
  <c r="C7" i="4" s="1"/>
  <c r="L7" i="3"/>
  <c r="K8" i="3" s="1"/>
  <c r="M7" i="3"/>
  <c r="P6" i="3"/>
  <c r="Q7" i="3" s="1"/>
  <c r="H7" i="3"/>
  <c r="G8" i="3" s="1"/>
  <c r="D7" i="3"/>
  <c r="C8" i="3" s="1"/>
  <c r="E7" i="3"/>
  <c r="U7" i="4" l="1"/>
  <c r="V7" i="4" s="1"/>
  <c r="P7" i="4"/>
  <c r="O8" i="4" s="1"/>
  <c r="AB7" i="4"/>
  <c r="AC8" i="4"/>
  <c r="AD8" i="4" s="1"/>
  <c r="AA8" i="4"/>
  <c r="X7" i="4"/>
  <c r="W8" i="4" s="1"/>
  <c r="Q7" i="4"/>
  <c r="R7" i="4" s="1"/>
  <c r="AF6" i="4"/>
  <c r="AE7" i="4" s="1"/>
  <c r="L7" i="4"/>
  <c r="K8" i="4" s="1"/>
  <c r="T7" i="4"/>
  <c r="S8" i="4" s="1"/>
  <c r="U8" i="4"/>
  <c r="V8" i="4" s="1"/>
  <c r="AC7" i="4"/>
  <c r="AD7" i="4" s="1"/>
  <c r="C7" i="5"/>
  <c r="I7" i="4"/>
  <c r="J7" i="4" s="1"/>
  <c r="D7" i="4"/>
  <c r="C8" i="4" s="1"/>
  <c r="E7" i="4"/>
  <c r="F7" i="4" s="1"/>
  <c r="H7" i="4"/>
  <c r="G8" i="4" s="1"/>
  <c r="L8" i="3"/>
  <c r="K9" i="3" s="1"/>
  <c r="M8" i="3"/>
  <c r="O7" i="3"/>
  <c r="H8" i="3"/>
  <c r="G9" i="3" s="1"/>
  <c r="I8" i="3"/>
  <c r="C9" i="3"/>
  <c r="D8" i="3"/>
  <c r="E8" i="3"/>
  <c r="E9" i="3"/>
  <c r="Y8" i="4" l="1"/>
  <c r="Z8" i="4" s="1"/>
  <c r="AF7" i="4"/>
  <c r="AG8" i="4"/>
  <c r="AH8" i="4" s="1"/>
  <c r="AE8" i="4"/>
  <c r="T8" i="4"/>
  <c r="U9" i="4" s="1"/>
  <c r="V9" i="4" s="1"/>
  <c r="X8" i="4"/>
  <c r="W9" i="4" s="1"/>
  <c r="Y9" i="4"/>
  <c r="Z9" i="4" s="1"/>
  <c r="L8" i="4"/>
  <c r="K9" i="4" s="1"/>
  <c r="M8" i="4"/>
  <c r="N8" i="4" s="1"/>
  <c r="P8" i="4"/>
  <c r="O9" i="4" s="1"/>
  <c r="AB8" i="4"/>
  <c r="AA9" i="4" s="1"/>
  <c r="AG7" i="4"/>
  <c r="AH7" i="4" s="1"/>
  <c r="Q8" i="4"/>
  <c r="R8" i="4" s="1"/>
  <c r="D7" i="5"/>
  <c r="E8" i="5" s="1"/>
  <c r="F8" i="5" s="1"/>
  <c r="I8" i="4"/>
  <c r="J8" i="4" s="1"/>
  <c r="H8" i="4"/>
  <c r="G9" i="4" s="1"/>
  <c r="I9" i="4"/>
  <c r="J9" i="4" s="1"/>
  <c r="E8" i="4"/>
  <c r="F8" i="4" s="1"/>
  <c r="D8" i="4"/>
  <c r="C9" i="4" s="1"/>
  <c r="L9" i="3"/>
  <c r="K10" i="3" s="1"/>
  <c r="M9" i="3"/>
  <c r="P7" i="3"/>
  <c r="O8" i="3" s="1"/>
  <c r="Q8" i="3"/>
  <c r="H9" i="3"/>
  <c r="G10" i="3" s="1"/>
  <c r="I9" i="3"/>
  <c r="C10" i="3"/>
  <c r="D9" i="3"/>
  <c r="E10" i="3"/>
  <c r="S9" i="4" l="1"/>
  <c r="T9" i="4" s="1"/>
  <c r="S10" i="4" s="1"/>
  <c r="M9" i="4"/>
  <c r="N9" i="4" s="1"/>
  <c r="AB9" i="4"/>
  <c r="AC10" i="4" s="1"/>
  <c r="AD10" i="4" s="1"/>
  <c r="AC9" i="4"/>
  <c r="AD9" i="4" s="1"/>
  <c r="X9" i="4"/>
  <c r="W10" i="4" s="1"/>
  <c r="Y10" i="4"/>
  <c r="Z10" i="4" s="1"/>
  <c r="P9" i="4"/>
  <c r="O10" i="4" s="1"/>
  <c r="Q9" i="4"/>
  <c r="R9" i="4" s="1"/>
  <c r="AF8" i="4"/>
  <c r="AE9" i="4" s="1"/>
  <c r="L9" i="4"/>
  <c r="M10" i="4" s="1"/>
  <c r="N10" i="4" s="1"/>
  <c r="K10" i="4"/>
  <c r="C8" i="5"/>
  <c r="D9" i="4"/>
  <c r="C10" i="4" s="1"/>
  <c r="E9" i="4"/>
  <c r="F9" i="4" s="1"/>
  <c r="H9" i="4"/>
  <c r="G10" i="4" s="1"/>
  <c r="L10" i="3"/>
  <c r="K11" i="3" s="1"/>
  <c r="M10" i="3"/>
  <c r="P8" i="3"/>
  <c r="O9" i="3" s="1"/>
  <c r="Q9" i="3"/>
  <c r="H10" i="3"/>
  <c r="G11" i="3" s="1"/>
  <c r="I10" i="3"/>
  <c r="D10" i="3"/>
  <c r="C11" i="3" s="1"/>
  <c r="E11" i="3"/>
  <c r="U10" i="4" l="1"/>
  <c r="V10" i="4" s="1"/>
  <c r="X10" i="4"/>
  <c r="Y11" i="4"/>
  <c r="Z11" i="4" s="1"/>
  <c r="T10" i="4"/>
  <c r="S11" i="4" s="1"/>
  <c r="U11" i="4"/>
  <c r="V11" i="4" s="1"/>
  <c r="L10" i="4"/>
  <c r="K11" i="4" s="1"/>
  <c r="AF9" i="4"/>
  <c r="AE10" i="4" s="1"/>
  <c r="AG9" i="4"/>
  <c r="AH9" i="4" s="1"/>
  <c r="P10" i="4"/>
  <c r="O11" i="4" s="1"/>
  <c r="AA10" i="4"/>
  <c r="Q10" i="4"/>
  <c r="R10" i="4" s="1"/>
  <c r="W11" i="4"/>
  <c r="D8" i="5"/>
  <c r="C9" i="5" s="1"/>
  <c r="E9" i="5"/>
  <c r="F9" i="5" s="1"/>
  <c r="I10" i="4"/>
  <c r="J10" i="4" s="1"/>
  <c r="H10" i="4"/>
  <c r="G11" i="4" s="1"/>
  <c r="H11" i="4" s="1"/>
  <c r="I12" i="4" s="1"/>
  <c r="J12" i="4" s="1"/>
  <c r="D10" i="4"/>
  <c r="C11" i="4" s="1"/>
  <c r="E10" i="4"/>
  <c r="F10" i="4" s="1"/>
  <c r="L11" i="3"/>
  <c r="K12" i="3" s="1"/>
  <c r="M11" i="3"/>
  <c r="P9" i="3"/>
  <c r="O10" i="3" s="1"/>
  <c r="Q10" i="3"/>
  <c r="H11" i="3"/>
  <c r="G12" i="3" s="1"/>
  <c r="I12" i="3"/>
  <c r="I11" i="3"/>
  <c r="D11" i="3"/>
  <c r="C12" i="3" s="1"/>
  <c r="E12" i="3"/>
  <c r="T11" i="4" l="1"/>
  <c r="U12" i="4"/>
  <c r="V12" i="4" s="1"/>
  <c r="AF10" i="4"/>
  <c r="AE11" i="4" s="1"/>
  <c r="L11" i="4"/>
  <c r="K12" i="4" s="1"/>
  <c r="P11" i="4"/>
  <c r="O12" i="4" s="1"/>
  <c r="X11" i="4"/>
  <c r="W12" i="4" s="1"/>
  <c r="Y12" i="4"/>
  <c r="Z12" i="4" s="1"/>
  <c r="AG10" i="4"/>
  <c r="AH10" i="4" s="1"/>
  <c r="M11" i="4"/>
  <c r="N11" i="4" s="1"/>
  <c r="AB10" i="4"/>
  <c r="AA11" i="4" s="1"/>
  <c r="G12" i="4"/>
  <c r="H12" i="4" s="1"/>
  <c r="I13" i="4" s="1"/>
  <c r="J13" i="4" s="1"/>
  <c r="Q11" i="4"/>
  <c r="R11" i="4" s="1"/>
  <c r="D9" i="5"/>
  <c r="E10" i="5" s="1"/>
  <c r="F10" i="5" s="1"/>
  <c r="C10" i="5"/>
  <c r="I11" i="4"/>
  <c r="J11" i="4" s="1"/>
  <c r="D11" i="4"/>
  <c r="C12" i="4" s="1"/>
  <c r="E11" i="4"/>
  <c r="F11" i="4" s="1"/>
  <c r="L12" i="3"/>
  <c r="K13" i="3" s="1"/>
  <c r="M12" i="3"/>
  <c r="P10" i="3"/>
  <c r="O11" i="3" s="1"/>
  <c r="Q11" i="3"/>
  <c r="H12" i="3"/>
  <c r="G13" i="3" s="1"/>
  <c r="D12" i="3"/>
  <c r="AB11" i="4" l="1"/>
  <c r="AA12" i="4" s="1"/>
  <c r="AC11" i="4"/>
  <c r="AD11" i="4" s="1"/>
  <c r="AG11" i="4"/>
  <c r="AH11" i="4" s="1"/>
  <c r="Q12" i="4"/>
  <c r="R12" i="4" s="1"/>
  <c r="M12" i="4"/>
  <c r="N12" i="4" s="1"/>
  <c r="P12" i="4"/>
  <c r="O13" i="4" s="1"/>
  <c r="L12" i="4"/>
  <c r="K13" i="4" s="1"/>
  <c r="AF11" i="4"/>
  <c r="AE12" i="4" s="1"/>
  <c r="X12" i="4"/>
  <c r="W13" i="4" s="1"/>
  <c r="S12" i="4"/>
  <c r="D10" i="5"/>
  <c r="C11" i="5"/>
  <c r="E11" i="5"/>
  <c r="F11" i="5" s="1"/>
  <c r="G13" i="4"/>
  <c r="H13" i="4" s="1"/>
  <c r="G14" i="4" s="1"/>
  <c r="D12" i="4"/>
  <c r="C13" i="4" s="1"/>
  <c r="E12" i="4"/>
  <c r="F12" i="4" s="1"/>
  <c r="L13" i="3"/>
  <c r="K14" i="3" s="1"/>
  <c r="M13" i="3"/>
  <c r="P11" i="3"/>
  <c r="O12" i="3" s="1"/>
  <c r="Q12" i="3"/>
  <c r="H13" i="3"/>
  <c r="G14" i="3" s="1"/>
  <c r="I14" i="3"/>
  <c r="I13" i="3"/>
  <c r="E13" i="3"/>
  <c r="C13" i="3"/>
  <c r="Y13" i="4" l="1"/>
  <c r="Z13" i="4" s="1"/>
  <c r="X13" i="4"/>
  <c r="Y14" i="4" s="1"/>
  <c r="Z14" i="4" s="1"/>
  <c r="P13" i="4"/>
  <c r="O14" i="4" s="1"/>
  <c r="Q13" i="4"/>
  <c r="R13" i="4" s="1"/>
  <c r="AF12" i="4"/>
  <c r="AE13" i="4" s="1"/>
  <c r="AG12" i="4"/>
  <c r="AH12" i="4" s="1"/>
  <c r="L13" i="4"/>
  <c r="K14" i="4" s="1"/>
  <c r="AB12" i="4"/>
  <c r="AA13" i="4" s="1"/>
  <c r="T12" i="4"/>
  <c r="S13" i="4" s="1"/>
  <c r="M13" i="4"/>
  <c r="N13" i="4" s="1"/>
  <c r="AC12" i="4"/>
  <c r="AD12" i="4" s="1"/>
  <c r="W14" i="4"/>
  <c r="D11" i="5"/>
  <c r="E12" i="5" s="1"/>
  <c r="F12" i="5" s="1"/>
  <c r="C12" i="5"/>
  <c r="D12" i="5" s="1"/>
  <c r="I14" i="4"/>
  <c r="J14" i="4" s="1"/>
  <c r="D13" i="4"/>
  <c r="C14" i="4" s="1"/>
  <c r="E13" i="4"/>
  <c r="F13" i="4" s="1"/>
  <c r="H14" i="4"/>
  <c r="G15" i="4" s="1"/>
  <c r="L14" i="3"/>
  <c r="K15" i="3" s="1"/>
  <c r="M14" i="3"/>
  <c r="P12" i="3"/>
  <c r="O13" i="3" s="1"/>
  <c r="Q13" i="3"/>
  <c r="H14" i="3"/>
  <c r="G15" i="3" s="1"/>
  <c r="I15" i="3"/>
  <c r="D13" i="3"/>
  <c r="U13" i="4" l="1"/>
  <c r="V13" i="4" s="1"/>
  <c r="T13" i="4"/>
  <c r="U14" i="4" s="1"/>
  <c r="V14" i="4" s="1"/>
  <c r="AG13" i="4"/>
  <c r="AH13" i="4" s="1"/>
  <c r="X14" i="4"/>
  <c r="W15" i="4" s="1"/>
  <c r="Y15" i="4"/>
  <c r="Z15" i="4" s="1"/>
  <c r="AC13" i="4"/>
  <c r="AD13" i="4" s="1"/>
  <c r="Q14" i="4"/>
  <c r="R14" i="4" s="1"/>
  <c r="Q15" i="4"/>
  <c r="R15" i="4" s="1"/>
  <c r="P14" i="4"/>
  <c r="O15" i="4" s="1"/>
  <c r="AF13" i="4"/>
  <c r="AE14" i="4" s="1"/>
  <c r="AB13" i="4"/>
  <c r="AA14" i="4" s="1"/>
  <c r="L14" i="4"/>
  <c r="K15" i="4" s="1"/>
  <c r="M14" i="4"/>
  <c r="N14" i="4" s="1"/>
  <c r="S14" i="4"/>
  <c r="I15" i="4"/>
  <c r="J15" i="4" s="1"/>
  <c r="D14" i="4"/>
  <c r="C15" i="4" s="1"/>
  <c r="E14" i="4"/>
  <c r="F14" i="4" s="1"/>
  <c r="H15" i="4"/>
  <c r="G16" i="4" s="1"/>
  <c r="L15" i="3"/>
  <c r="K16" i="3" s="1"/>
  <c r="M15" i="3"/>
  <c r="P13" i="3"/>
  <c r="O14" i="3" s="1"/>
  <c r="Q14" i="3"/>
  <c r="H15" i="3"/>
  <c r="G16" i="3" s="1"/>
  <c r="I16" i="3"/>
  <c r="E14" i="3"/>
  <c r="C14" i="3"/>
  <c r="X15" i="4" l="1"/>
  <c r="Y16" i="4" s="1"/>
  <c r="Z16" i="4" s="1"/>
  <c r="L15" i="4"/>
  <c r="K16" i="4" s="1"/>
  <c r="AF14" i="4"/>
  <c r="AE15" i="4" s="1"/>
  <c r="AB14" i="4"/>
  <c r="AA15" i="4" s="1"/>
  <c r="AG14" i="4"/>
  <c r="AH14" i="4" s="1"/>
  <c r="M15" i="4"/>
  <c r="N15" i="4" s="1"/>
  <c r="T14" i="4"/>
  <c r="U15" i="4" s="1"/>
  <c r="V15" i="4" s="1"/>
  <c r="AC14" i="4"/>
  <c r="AD14" i="4" s="1"/>
  <c r="P15" i="4"/>
  <c r="O16" i="4" s="1"/>
  <c r="W16" i="4"/>
  <c r="I16" i="4"/>
  <c r="J16" i="4" s="1"/>
  <c r="D15" i="4"/>
  <c r="C16" i="4" s="1"/>
  <c r="E15" i="4"/>
  <c r="F15" i="4" s="1"/>
  <c r="H16" i="4"/>
  <c r="G17" i="4" s="1"/>
  <c r="L16" i="3"/>
  <c r="K17" i="3" s="1"/>
  <c r="M16" i="3"/>
  <c r="P14" i="3"/>
  <c r="O15" i="3" s="1"/>
  <c r="Q15" i="3"/>
  <c r="H16" i="3"/>
  <c r="G17" i="3" s="1"/>
  <c r="I17" i="3"/>
  <c r="D14" i="3"/>
  <c r="S15" i="4" l="1"/>
  <c r="AB15" i="4"/>
  <c r="AA16" i="4" s="1"/>
  <c r="AF15" i="4"/>
  <c r="AE16" i="4" s="1"/>
  <c r="AG15" i="4"/>
  <c r="AH15" i="4" s="1"/>
  <c r="L16" i="4"/>
  <c r="K17" i="4" s="1"/>
  <c r="M16" i="4"/>
  <c r="N16" i="4" s="1"/>
  <c r="X16" i="4"/>
  <c r="W17" i="4" s="1"/>
  <c r="Y17" i="4"/>
  <c r="Z17" i="4" s="1"/>
  <c r="P16" i="4"/>
  <c r="O17" i="4" s="1"/>
  <c r="AC15" i="4"/>
  <c r="AD15" i="4" s="1"/>
  <c r="Q16" i="4"/>
  <c r="R16" i="4" s="1"/>
  <c r="T15" i="4"/>
  <c r="U16" i="4"/>
  <c r="V16" i="4" s="1"/>
  <c r="S16" i="4"/>
  <c r="I17" i="4"/>
  <c r="J17" i="4" s="1"/>
  <c r="D16" i="4"/>
  <c r="C17" i="4" s="1"/>
  <c r="E16" i="4"/>
  <c r="F16" i="4" s="1"/>
  <c r="H17" i="4"/>
  <c r="G18" i="4" s="1"/>
  <c r="L17" i="3"/>
  <c r="K18" i="3" s="1"/>
  <c r="M17" i="3"/>
  <c r="P15" i="3"/>
  <c r="O16" i="3" s="1"/>
  <c r="Q16" i="3"/>
  <c r="H17" i="3"/>
  <c r="G18" i="3" s="1"/>
  <c r="I18" i="3"/>
  <c r="E15" i="3"/>
  <c r="C15" i="3"/>
  <c r="T16" i="4" l="1"/>
  <c r="U17" i="4" s="1"/>
  <c r="V17" i="4" s="1"/>
  <c r="AF16" i="4"/>
  <c r="AE17" i="4" s="1"/>
  <c r="X17" i="4"/>
  <c r="Y18" i="4"/>
  <c r="Z18" i="4" s="1"/>
  <c r="L17" i="4"/>
  <c r="K18" i="4" s="1"/>
  <c r="M17" i="4"/>
  <c r="N17" i="4" s="1"/>
  <c r="P17" i="4"/>
  <c r="O18" i="4" s="1"/>
  <c r="Q17" i="4"/>
  <c r="R17" i="4" s="1"/>
  <c r="AG16" i="4"/>
  <c r="AH16" i="4" s="1"/>
  <c r="AB16" i="4"/>
  <c r="AA17" i="4" s="1"/>
  <c r="AC16" i="4"/>
  <c r="AD16" i="4" s="1"/>
  <c r="S17" i="4"/>
  <c r="D17" i="4"/>
  <c r="C18" i="4" s="1"/>
  <c r="E17" i="4"/>
  <c r="F17" i="4" s="1"/>
  <c r="I18" i="4"/>
  <c r="J18" i="4" s="1"/>
  <c r="H18" i="4"/>
  <c r="G19" i="4" s="1"/>
  <c r="L18" i="3"/>
  <c r="K19" i="3" s="1"/>
  <c r="M18" i="3"/>
  <c r="P16" i="3"/>
  <c r="O17" i="3" s="1"/>
  <c r="Q17" i="3"/>
  <c r="H18" i="3"/>
  <c r="G19" i="3" s="1"/>
  <c r="D15" i="3"/>
  <c r="AB17" i="4" l="1"/>
  <c r="AA18" i="4" s="1"/>
  <c r="M18" i="4"/>
  <c r="N18" i="4" s="1"/>
  <c r="AC17" i="4"/>
  <c r="AD17" i="4" s="1"/>
  <c r="L18" i="4"/>
  <c r="K19" i="4" s="1"/>
  <c r="T17" i="4"/>
  <c r="S18" i="4" s="1"/>
  <c r="U18" i="4"/>
  <c r="V18" i="4" s="1"/>
  <c r="P18" i="4"/>
  <c r="O19" i="4" s="1"/>
  <c r="AG17" i="4"/>
  <c r="AH17" i="4" s="1"/>
  <c r="Q18" i="4"/>
  <c r="R18" i="4" s="1"/>
  <c r="AF17" i="4"/>
  <c r="AE18" i="4" s="1"/>
  <c r="W18" i="4"/>
  <c r="I19" i="4"/>
  <c r="J19" i="4" s="1"/>
  <c r="D18" i="4"/>
  <c r="C19" i="4" s="1"/>
  <c r="E18" i="4"/>
  <c r="F18" i="4" s="1"/>
  <c r="H19" i="4"/>
  <c r="G20" i="4" s="1"/>
  <c r="L19" i="3"/>
  <c r="K20" i="3" s="1"/>
  <c r="M20" i="3"/>
  <c r="M19" i="3"/>
  <c r="P17" i="3"/>
  <c r="O18" i="3" s="1"/>
  <c r="Q18" i="3"/>
  <c r="H19" i="3"/>
  <c r="G20" i="3" s="1"/>
  <c r="I20" i="3"/>
  <c r="I19" i="3"/>
  <c r="E16" i="3"/>
  <c r="C16" i="3"/>
  <c r="Q19" i="4" l="1"/>
  <c r="R19" i="4" s="1"/>
  <c r="AC18" i="4"/>
  <c r="AD18" i="4" s="1"/>
  <c r="P19" i="4"/>
  <c r="Q20" i="4" s="1"/>
  <c r="R20" i="4" s="1"/>
  <c r="T18" i="4"/>
  <c r="S19" i="4" s="1"/>
  <c r="AF18" i="4"/>
  <c r="AE19" i="4" s="1"/>
  <c r="AG18" i="4"/>
  <c r="AH18" i="4" s="1"/>
  <c r="L19" i="4"/>
  <c r="K20" i="4" s="1"/>
  <c r="M19" i="4"/>
  <c r="N19" i="4" s="1"/>
  <c r="AB18" i="4"/>
  <c r="AA19" i="4" s="1"/>
  <c r="X18" i="4"/>
  <c r="W19" i="4" s="1"/>
  <c r="I20" i="4"/>
  <c r="J20" i="4" s="1"/>
  <c r="D19" i="4"/>
  <c r="C20" i="4" s="1"/>
  <c r="E19" i="4"/>
  <c r="F19" i="4" s="1"/>
  <c r="H20" i="4"/>
  <c r="G21" i="4" s="1"/>
  <c r="L20" i="3"/>
  <c r="K21" i="3" s="1"/>
  <c r="P18" i="3"/>
  <c r="O19" i="3" s="1"/>
  <c r="Q19" i="3"/>
  <c r="H20" i="3"/>
  <c r="G21" i="3" s="1"/>
  <c r="D16" i="3"/>
  <c r="Y19" i="4" l="1"/>
  <c r="Z19" i="4" s="1"/>
  <c r="T19" i="4"/>
  <c r="U20" i="4" s="1"/>
  <c r="V20" i="4" s="1"/>
  <c r="AF19" i="4"/>
  <c r="AE20" i="4" s="1"/>
  <c r="AB19" i="4"/>
  <c r="AA20" i="4" s="1"/>
  <c r="AG19" i="4"/>
  <c r="AH19" i="4" s="1"/>
  <c r="AC19" i="4"/>
  <c r="AD19" i="4" s="1"/>
  <c r="U19" i="4"/>
  <c r="V19" i="4" s="1"/>
  <c r="L20" i="4"/>
  <c r="K21" i="4" s="1"/>
  <c r="O20" i="4"/>
  <c r="X19" i="4"/>
  <c r="Y20" i="4" s="1"/>
  <c r="Z20" i="4" s="1"/>
  <c r="M20" i="4"/>
  <c r="N20" i="4" s="1"/>
  <c r="W20" i="4"/>
  <c r="I21" i="4"/>
  <c r="J21" i="4" s="1"/>
  <c r="D20" i="4"/>
  <c r="C21" i="4" s="1"/>
  <c r="E20" i="4"/>
  <c r="F20" i="4" s="1"/>
  <c r="H21" i="4"/>
  <c r="G22" i="4" s="1"/>
  <c r="L21" i="3"/>
  <c r="K22" i="3" s="1"/>
  <c r="M21" i="3"/>
  <c r="P19" i="3"/>
  <c r="O20" i="3" s="1"/>
  <c r="Q20" i="3"/>
  <c r="H21" i="3"/>
  <c r="G22" i="3" s="1"/>
  <c r="I22" i="3"/>
  <c r="I21" i="3"/>
  <c r="E17" i="3"/>
  <c r="C17" i="3"/>
  <c r="S20" i="4" l="1"/>
  <c r="AB20" i="4"/>
  <c r="AA21" i="4" s="1"/>
  <c r="AC20" i="4"/>
  <c r="AD20" i="4" s="1"/>
  <c r="P20" i="4"/>
  <c r="Q21" i="4" s="1"/>
  <c r="R21" i="4" s="1"/>
  <c r="AF20" i="4"/>
  <c r="AE21" i="4" s="1"/>
  <c r="T20" i="4"/>
  <c r="S21" i="4" s="1"/>
  <c r="L21" i="4"/>
  <c r="K22" i="4" s="1"/>
  <c r="AG20" i="4"/>
  <c r="AH20" i="4" s="1"/>
  <c r="X20" i="4"/>
  <c r="W21" i="4" s="1"/>
  <c r="Y21" i="4"/>
  <c r="Z21" i="4" s="1"/>
  <c r="M21" i="4"/>
  <c r="N21" i="4" s="1"/>
  <c r="I22" i="4"/>
  <c r="J22" i="4" s="1"/>
  <c r="D21" i="4"/>
  <c r="C22" i="4" s="1"/>
  <c r="E21" i="4"/>
  <c r="F21" i="4" s="1"/>
  <c r="H22" i="4"/>
  <c r="G23" i="4" s="1"/>
  <c r="L22" i="3"/>
  <c r="K23" i="3" s="1"/>
  <c r="M22" i="3"/>
  <c r="P20" i="3"/>
  <c r="O21" i="3" s="1"/>
  <c r="Q21" i="3"/>
  <c r="H22" i="3"/>
  <c r="G23" i="3" s="1"/>
  <c r="I23" i="3"/>
  <c r="D17" i="3"/>
  <c r="M22" i="4" l="1"/>
  <c r="N22" i="4" s="1"/>
  <c r="U21" i="4"/>
  <c r="V21" i="4" s="1"/>
  <c r="X21" i="4"/>
  <c r="Y22" i="4"/>
  <c r="Z22" i="4" s="1"/>
  <c r="T21" i="4"/>
  <c r="S22" i="4" s="1"/>
  <c r="O21" i="4"/>
  <c r="AF21" i="4"/>
  <c r="AE22" i="4" s="1"/>
  <c r="AG21" i="4"/>
  <c r="AH21" i="4" s="1"/>
  <c r="L22" i="4"/>
  <c r="K23" i="4" s="1"/>
  <c r="AB21" i="4"/>
  <c r="AA22" i="4" s="1"/>
  <c r="AC21" i="4"/>
  <c r="AD21" i="4" s="1"/>
  <c r="W22" i="4"/>
  <c r="I23" i="4"/>
  <c r="J23" i="4" s="1"/>
  <c r="D22" i="4"/>
  <c r="C23" i="4" s="1"/>
  <c r="E22" i="4"/>
  <c r="F22" i="4" s="1"/>
  <c r="H23" i="4"/>
  <c r="G24" i="4" s="1"/>
  <c r="L23" i="3"/>
  <c r="K24" i="3" s="1"/>
  <c r="M23" i="3"/>
  <c r="P21" i="3"/>
  <c r="O22" i="3" s="1"/>
  <c r="Q22" i="3"/>
  <c r="H23" i="3"/>
  <c r="G24" i="3" s="1"/>
  <c r="I24" i="3"/>
  <c r="E18" i="3"/>
  <c r="C18" i="3"/>
  <c r="U22" i="4" l="1"/>
  <c r="V22" i="4" s="1"/>
  <c r="T22" i="4"/>
  <c r="U23" i="4" s="1"/>
  <c r="V23" i="4" s="1"/>
  <c r="AF22" i="4"/>
  <c r="AE23" i="4" s="1"/>
  <c r="AB22" i="4"/>
  <c r="AA23" i="4" s="1"/>
  <c r="AC22" i="4"/>
  <c r="AD22" i="4" s="1"/>
  <c r="X22" i="4"/>
  <c r="Y23" i="4" s="1"/>
  <c r="Z23" i="4" s="1"/>
  <c r="AG22" i="4"/>
  <c r="AH22" i="4" s="1"/>
  <c r="O22" i="4"/>
  <c r="P21" i="4"/>
  <c r="Q22" i="4" s="1"/>
  <c r="R22" i="4" s="1"/>
  <c r="L23" i="4"/>
  <c r="K24" i="4" s="1"/>
  <c r="M23" i="4"/>
  <c r="N23" i="4" s="1"/>
  <c r="S23" i="4"/>
  <c r="E23" i="4"/>
  <c r="F23" i="4" s="1"/>
  <c r="I24" i="4"/>
  <c r="J24" i="4" s="1"/>
  <c r="D23" i="4"/>
  <c r="C24" i="4" s="1"/>
  <c r="H24" i="4"/>
  <c r="G25" i="4" s="1"/>
  <c r="L24" i="3"/>
  <c r="K25" i="3" s="1"/>
  <c r="M24" i="3"/>
  <c r="P22" i="3"/>
  <c r="O23" i="3" s="1"/>
  <c r="Q23" i="3"/>
  <c r="H24" i="3"/>
  <c r="G25" i="3" s="1"/>
  <c r="I25" i="3"/>
  <c r="D18" i="3"/>
  <c r="L24" i="4" l="1"/>
  <c r="K25" i="4" s="1"/>
  <c r="M24" i="4"/>
  <c r="N24" i="4" s="1"/>
  <c r="AB23" i="4"/>
  <c r="AA24" i="4" s="1"/>
  <c r="AC23" i="4"/>
  <c r="AD23" i="4" s="1"/>
  <c r="AF23" i="4"/>
  <c r="AE24" i="4" s="1"/>
  <c r="AG23" i="4"/>
  <c r="AH23" i="4" s="1"/>
  <c r="T23" i="4"/>
  <c r="U24" i="4" s="1"/>
  <c r="V24" i="4" s="1"/>
  <c r="P22" i="4"/>
  <c r="O23" i="4" s="1"/>
  <c r="W23" i="4"/>
  <c r="I25" i="4"/>
  <c r="J25" i="4" s="1"/>
  <c r="D24" i="4"/>
  <c r="C25" i="4" s="1"/>
  <c r="E24" i="4"/>
  <c r="F24" i="4" s="1"/>
  <c r="H25" i="4"/>
  <c r="G26" i="4" s="1"/>
  <c r="L25" i="3"/>
  <c r="K26" i="3" s="1"/>
  <c r="M25" i="3"/>
  <c r="P23" i="3"/>
  <c r="O24" i="3" s="1"/>
  <c r="Q24" i="3"/>
  <c r="H25" i="3"/>
  <c r="G26" i="3" s="1"/>
  <c r="E19" i="3"/>
  <c r="C19" i="3"/>
  <c r="S24" i="4" l="1"/>
  <c r="AC24" i="4"/>
  <c r="AD24" i="4" s="1"/>
  <c r="Q23" i="4"/>
  <c r="R23" i="4" s="1"/>
  <c r="P23" i="4"/>
  <c r="O24" i="4" s="1"/>
  <c r="X23" i="4"/>
  <c r="Y24" i="4" s="1"/>
  <c r="Z24" i="4" s="1"/>
  <c r="AG24" i="4"/>
  <c r="AH24" i="4" s="1"/>
  <c r="AB24" i="4"/>
  <c r="AA25" i="4" s="1"/>
  <c r="L25" i="4"/>
  <c r="K26" i="4" s="1"/>
  <c r="AF24" i="4"/>
  <c r="AE25" i="4" s="1"/>
  <c r="T24" i="4"/>
  <c r="S25" i="4" s="1"/>
  <c r="U25" i="4"/>
  <c r="V25" i="4" s="1"/>
  <c r="M25" i="4"/>
  <c r="N25" i="4" s="1"/>
  <c r="I26" i="4"/>
  <c r="J26" i="4" s="1"/>
  <c r="E25" i="4"/>
  <c r="F25" i="4" s="1"/>
  <c r="D25" i="4"/>
  <c r="C26" i="4" s="1"/>
  <c r="H26" i="4"/>
  <c r="G27" i="4" s="1"/>
  <c r="L26" i="3"/>
  <c r="K27" i="3" s="1"/>
  <c r="M26" i="3"/>
  <c r="P24" i="3"/>
  <c r="O25" i="3" s="1"/>
  <c r="Q25" i="3"/>
  <c r="H26" i="3"/>
  <c r="G27" i="3" s="1"/>
  <c r="I26" i="3"/>
  <c r="D19" i="3"/>
  <c r="W24" i="4" l="1"/>
  <c r="AG25" i="4"/>
  <c r="AH25" i="4" s="1"/>
  <c r="M26" i="4"/>
  <c r="N26" i="4" s="1"/>
  <c r="T25" i="4"/>
  <c r="U26" i="4" s="1"/>
  <c r="V26" i="4" s="1"/>
  <c r="X24" i="4"/>
  <c r="W25" i="4" s="1"/>
  <c r="Y25" i="4"/>
  <c r="Z25" i="4" s="1"/>
  <c r="AC25" i="4"/>
  <c r="AD25" i="4" s="1"/>
  <c r="AF25" i="4"/>
  <c r="AE26" i="4" s="1"/>
  <c r="P24" i="4"/>
  <c r="Q25" i="4" s="1"/>
  <c r="R25" i="4" s="1"/>
  <c r="AB25" i="4"/>
  <c r="AA26" i="4" s="1"/>
  <c r="L26" i="4"/>
  <c r="M27" i="4" s="1"/>
  <c r="N27" i="4" s="1"/>
  <c r="Q24" i="4"/>
  <c r="R24" i="4" s="1"/>
  <c r="S26" i="4"/>
  <c r="I27" i="4"/>
  <c r="J27" i="4" s="1"/>
  <c r="D26" i="4"/>
  <c r="C27" i="4" s="1"/>
  <c r="E26" i="4"/>
  <c r="F26" i="4" s="1"/>
  <c r="H27" i="4"/>
  <c r="G28" i="4" s="1"/>
  <c r="L27" i="3"/>
  <c r="K28" i="3" s="1"/>
  <c r="M27" i="3"/>
  <c r="P25" i="3"/>
  <c r="O26" i="3" s="1"/>
  <c r="Q26" i="3"/>
  <c r="H27" i="3"/>
  <c r="G28" i="3" s="1"/>
  <c r="I28" i="3"/>
  <c r="I27" i="3"/>
  <c r="E20" i="3"/>
  <c r="C20" i="3"/>
  <c r="AC26" i="4" l="1"/>
  <c r="AD26" i="4" s="1"/>
  <c r="O25" i="4"/>
  <c r="X25" i="4"/>
  <c r="W26" i="4" s="1"/>
  <c r="Y26" i="4"/>
  <c r="Z26" i="4" s="1"/>
  <c r="K27" i="4"/>
  <c r="AF26" i="4"/>
  <c r="AE27" i="4" s="1"/>
  <c r="AG26" i="4"/>
  <c r="AH26" i="4" s="1"/>
  <c r="T26" i="4"/>
  <c r="U27" i="4" s="1"/>
  <c r="V27" i="4" s="1"/>
  <c r="AB26" i="4"/>
  <c r="AA27" i="4" s="1"/>
  <c r="D27" i="4"/>
  <c r="C28" i="4" s="1"/>
  <c r="E27" i="4"/>
  <c r="F27" i="4" s="1"/>
  <c r="H28" i="4"/>
  <c r="G29" i="4" s="1"/>
  <c r="I28" i="4"/>
  <c r="J28" i="4" s="1"/>
  <c r="L28" i="3"/>
  <c r="K29" i="3" s="1"/>
  <c r="M28" i="3"/>
  <c r="P26" i="3"/>
  <c r="O27" i="3" s="1"/>
  <c r="Q27" i="3"/>
  <c r="H28" i="3"/>
  <c r="G29" i="3" s="1"/>
  <c r="D20" i="3"/>
  <c r="S27" i="4" l="1"/>
  <c r="AF27" i="4"/>
  <c r="AE28" i="4" s="1"/>
  <c r="L27" i="4"/>
  <c r="M28" i="4" s="1"/>
  <c r="N28" i="4" s="1"/>
  <c r="AC27" i="4"/>
  <c r="AD27" i="4" s="1"/>
  <c r="P25" i="4"/>
  <c r="O26" i="4" s="1"/>
  <c r="T27" i="4"/>
  <c r="S28" i="4" s="1"/>
  <c r="U28" i="4"/>
  <c r="V28" i="4" s="1"/>
  <c r="AG27" i="4"/>
  <c r="AH27" i="4" s="1"/>
  <c r="X26" i="4"/>
  <c r="Y27" i="4"/>
  <c r="Z27" i="4" s="1"/>
  <c r="AB27" i="4"/>
  <c r="AA28" i="4" s="1"/>
  <c r="W27" i="4"/>
  <c r="I29" i="4"/>
  <c r="J29" i="4" s="1"/>
  <c r="D28" i="4"/>
  <c r="C29" i="4" s="1"/>
  <c r="E28" i="4"/>
  <c r="F28" i="4" s="1"/>
  <c r="H29" i="4"/>
  <c r="G30" i="4" s="1"/>
  <c r="L29" i="3"/>
  <c r="K30" i="3" s="1"/>
  <c r="M30" i="3"/>
  <c r="M29" i="3"/>
  <c r="P27" i="3"/>
  <c r="O28" i="3" s="1"/>
  <c r="Q28" i="3"/>
  <c r="H29" i="3"/>
  <c r="G30" i="3" s="1"/>
  <c r="I30" i="3"/>
  <c r="I29" i="3"/>
  <c r="D21" i="3"/>
  <c r="E21" i="3"/>
  <c r="C21" i="3"/>
  <c r="T28" i="4" l="1"/>
  <c r="U29" i="4" s="1"/>
  <c r="V29" i="4" s="1"/>
  <c r="AB28" i="4"/>
  <c r="AA29" i="4" s="1"/>
  <c r="K28" i="4"/>
  <c r="P26" i="4"/>
  <c r="O27" i="4" s="1"/>
  <c r="Q26" i="4"/>
  <c r="R26" i="4" s="1"/>
  <c r="AC28" i="4"/>
  <c r="AD28" i="4" s="1"/>
  <c r="X27" i="4"/>
  <c r="W28" i="4" s="1"/>
  <c r="Y28" i="4"/>
  <c r="Z28" i="4" s="1"/>
  <c r="AF28" i="4"/>
  <c r="AE29" i="4" s="1"/>
  <c r="AG28" i="4"/>
  <c r="AH28" i="4" s="1"/>
  <c r="D29" i="4"/>
  <c r="C30" i="4" s="1"/>
  <c r="E29" i="4"/>
  <c r="F29" i="4" s="1"/>
  <c r="H30" i="4"/>
  <c r="G31" i="4" s="1"/>
  <c r="I30" i="4"/>
  <c r="J30" i="4" s="1"/>
  <c r="L30" i="3"/>
  <c r="K31" i="3" s="1"/>
  <c r="M31" i="3"/>
  <c r="P28" i="3"/>
  <c r="O29" i="3" s="1"/>
  <c r="Q29" i="3"/>
  <c r="H30" i="3"/>
  <c r="G31" i="3" s="1"/>
  <c r="I31" i="3"/>
  <c r="C22" i="3"/>
  <c r="E22" i="3"/>
  <c r="S29" i="4" l="1"/>
  <c r="X28" i="4"/>
  <c r="Y29" i="4" s="1"/>
  <c r="Z29" i="4" s="1"/>
  <c r="P27" i="4"/>
  <c r="O28" i="4" s="1"/>
  <c r="Q27" i="4"/>
  <c r="R27" i="4" s="1"/>
  <c r="L28" i="4"/>
  <c r="K29" i="4" s="1"/>
  <c r="T29" i="4"/>
  <c r="U30" i="4" s="1"/>
  <c r="V30" i="4" s="1"/>
  <c r="AF29" i="4"/>
  <c r="AE30" i="4" s="1"/>
  <c r="AG29" i="4"/>
  <c r="AH29" i="4" s="1"/>
  <c r="AB29" i="4"/>
  <c r="AA30" i="4" s="1"/>
  <c r="AC29" i="4"/>
  <c r="AD29" i="4" s="1"/>
  <c r="W29" i="4"/>
  <c r="I31" i="4"/>
  <c r="J31" i="4" s="1"/>
  <c r="D30" i="4"/>
  <c r="C31" i="4" s="1"/>
  <c r="E30" i="4"/>
  <c r="F30" i="4" s="1"/>
  <c r="H31" i="4"/>
  <c r="G32" i="4" s="1"/>
  <c r="L31" i="3"/>
  <c r="K32" i="3" s="1"/>
  <c r="M32" i="3"/>
  <c r="P29" i="3"/>
  <c r="O30" i="3" s="1"/>
  <c r="Q30" i="3"/>
  <c r="H31" i="3"/>
  <c r="G32" i="3" s="1"/>
  <c r="I32" i="3"/>
  <c r="D22" i="3"/>
  <c r="E23" i="3" s="1"/>
  <c r="M29" i="4" l="1"/>
  <c r="N29" i="4" s="1"/>
  <c r="P28" i="4"/>
  <c r="Q29" i="4" s="1"/>
  <c r="R29" i="4" s="1"/>
  <c r="AF30" i="4"/>
  <c r="AE31" i="4" s="1"/>
  <c r="Q28" i="4"/>
  <c r="R28" i="4" s="1"/>
  <c r="AB30" i="4"/>
  <c r="AA31" i="4" s="1"/>
  <c r="AC30" i="4"/>
  <c r="AD30" i="4" s="1"/>
  <c r="AG30" i="4"/>
  <c r="AH30" i="4" s="1"/>
  <c r="L29" i="4"/>
  <c r="K30" i="4" s="1"/>
  <c r="S30" i="4"/>
  <c r="X29" i="4"/>
  <c r="W30" i="4" s="1"/>
  <c r="Y30" i="4"/>
  <c r="Z30" i="4" s="1"/>
  <c r="D31" i="4"/>
  <c r="C32" i="4" s="1"/>
  <c r="E31" i="4"/>
  <c r="F31" i="4" s="1"/>
  <c r="H32" i="4"/>
  <c r="G33" i="4" s="1"/>
  <c r="I32" i="4"/>
  <c r="J32" i="4" s="1"/>
  <c r="L32" i="3"/>
  <c r="K33" i="3" s="1"/>
  <c r="P30" i="3"/>
  <c r="O31" i="3" s="1"/>
  <c r="Q31" i="3"/>
  <c r="H32" i="3"/>
  <c r="G33" i="3" s="1"/>
  <c r="I33" i="3"/>
  <c r="C23" i="3"/>
  <c r="AC31" i="4" l="1"/>
  <c r="AD31" i="4" s="1"/>
  <c r="X30" i="4"/>
  <c r="Y31" i="4" s="1"/>
  <c r="Z31" i="4" s="1"/>
  <c r="AF31" i="4"/>
  <c r="AE32" i="4" s="1"/>
  <c r="T30" i="4"/>
  <c r="S31" i="4" s="1"/>
  <c r="L30" i="4"/>
  <c r="K31" i="4" s="1"/>
  <c r="AG31" i="4"/>
  <c r="AH31" i="4" s="1"/>
  <c r="M30" i="4"/>
  <c r="N30" i="4" s="1"/>
  <c r="O29" i="4"/>
  <c r="AB31" i="4"/>
  <c r="AA32" i="4" s="1"/>
  <c r="D32" i="4"/>
  <c r="C33" i="4" s="1"/>
  <c r="E32" i="4"/>
  <c r="F32" i="4" s="1"/>
  <c r="H33" i="4"/>
  <c r="G34" i="4" s="1"/>
  <c r="I33" i="4"/>
  <c r="J33" i="4" s="1"/>
  <c r="L33" i="3"/>
  <c r="K34" i="3" s="1"/>
  <c r="M34" i="3"/>
  <c r="M33" i="3"/>
  <c r="P31" i="3"/>
  <c r="O32" i="3" s="1"/>
  <c r="Q32" i="3"/>
  <c r="H33" i="3"/>
  <c r="G34" i="3" s="1"/>
  <c r="I34" i="3"/>
  <c r="D23" i="3"/>
  <c r="E24" i="3" s="1"/>
  <c r="U31" i="4" l="1"/>
  <c r="V31" i="4" s="1"/>
  <c r="T31" i="4"/>
  <c r="U32" i="4"/>
  <c r="V32" i="4" s="1"/>
  <c r="S32" i="4"/>
  <c r="L31" i="4"/>
  <c r="K32" i="4" s="1"/>
  <c r="M31" i="4"/>
  <c r="N31" i="4" s="1"/>
  <c r="AB32" i="4"/>
  <c r="AA33" i="4" s="1"/>
  <c r="AC32" i="4"/>
  <c r="AD32" i="4" s="1"/>
  <c r="AF32" i="4"/>
  <c r="AE33" i="4" s="1"/>
  <c r="P29" i="4"/>
  <c r="O30" i="4" s="1"/>
  <c r="AG32" i="4"/>
  <c r="AH32" i="4" s="1"/>
  <c r="W31" i="4"/>
  <c r="D33" i="4"/>
  <c r="C34" i="4" s="1"/>
  <c r="E33" i="4"/>
  <c r="F33" i="4" s="1"/>
  <c r="H34" i="4"/>
  <c r="G35" i="4" s="1"/>
  <c r="I34" i="4"/>
  <c r="J34" i="4" s="1"/>
  <c r="L34" i="3"/>
  <c r="K35" i="3" s="1"/>
  <c r="M35" i="3"/>
  <c r="P32" i="3"/>
  <c r="O33" i="3" s="1"/>
  <c r="Q33" i="3"/>
  <c r="H34" i="3"/>
  <c r="G35" i="3" s="1"/>
  <c r="I35" i="3"/>
  <c r="C24" i="3"/>
  <c r="M32" i="4" l="1"/>
  <c r="N32" i="4" s="1"/>
  <c r="Q30" i="4"/>
  <c r="R30" i="4" s="1"/>
  <c r="AB33" i="4"/>
  <c r="AA34" i="4" s="1"/>
  <c r="P30" i="4"/>
  <c r="O31" i="4" s="1"/>
  <c r="L32" i="4"/>
  <c r="K33" i="4" s="1"/>
  <c r="AC33" i="4"/>
  <c r="AD33" i="4" s="1"/>
  <c r="AF33" i="4"/>
  <c r="AE34" i="4" s="1"/>
  <c r="T32" i="4"/>
  <c r="U33" i="4" s="1"/>
  <c r="V33" i="4" s="1"/>
  <c r="AG33" i="4"/>
  <c r="AH33" i="4" s="1"/>
  <c r="X31" i="4"/>
  <c r="Y32" i="4"/>
  <c r="Z32" i="4" s="1"/>
  <c r="W32" i="4"/>
  <c r="D34" i="4"/>
  <c r="C35" i="4" s="1"/>
  <c r="E34" i="4"/>
  <c r="F34" i="4" s="1"/>
  <c r="H35" i="4"/>
  <c r="G36" i="4" s="1"/>
  <c r="I35" i="4"/>
  <c r="J35" i="4" s="1"/>
  <c r="L35" i="3"/>
  <c r="K36" i="3" s="1"/>
  <c r="M36" i="3"/>
  <c r="P33" i="3"/>
  <c r="O34" i="3" s="1"/>
  <c r="Q34" i="3"/>
  <c r="H35" i="3"/>
  <c r="G36" i="3" s="1"/>
  <c r="I36" i="3"/>
  <c r="D24" i="3"/>
  <c r="S33" i="4" l="1"/>
  <c r="AG34" i="4"/>
  <c r="AH34" i="4" s="1"/>
  <c r="L33" i="4"/>
  <c r="M34" i="4" s="1"/>
  <c r="N34" i="4" s="1"/>
  <c r="M33" i="4"/>
  <c r="N33" i="4" s="1"/>
  <c r="Q31" i="4"/>
  <c r="R31" i="4" s="1"/>
  <c r="T33" i="4"/>
  <c r="S34" i="4" s="1"/>
  <c r="AB34" i="4"/>
  <c r="AA35" i="4" s="1"/>
  <c r="P31" i="4"/>
  <c r="O32" i="4" s="1"/>
  <c r="X32" i="4"/>
  <c r="Y33" i="4" s="1"/>
  <c r="Z33" i="4" s="1"/>
  <c r="AF34" i="4"/>
  <c r="AE35" i="4" s="1"/>
  <c r="AC34" i="4"/>
  <c r="AD34" i="4" s="1"/>
  <c r="W33" i="4"/>
  <c r="I36" i="4"/>
  <c r="J36" i="4" s="1"/>
  <c r="D35" i="4"/>
  <c r="C36" i="4" s="1"/>
  <c r="E35" i="4"/>
  <c r="F35" i="4" s="1"/>
  <c r="H36" i="4"/>
  <c r="G37" i="4" s="1"/>
  <c r="L36" i="3"/>
  <c r="K37" i="3" s="1"/>
  <c r="M37" i="3"/>
  <c r="P34" i="3"/>
  <c r="O35" i="3" s="1"/>
  <c r="Q35" i="3"/>
  <c r="H36" i="3"/>
  <c r="G37" i="3" s="1"/>
  <c r="E25" i="3"/>
  <c r="C25" i="3"/>
  <c r="U34" i="4" l="1"/>
  <c r="V34" i="4" s="1"/>
  <c r="AC35" i="4"/>
  <c r="AD35" i="4" s="1"/>
  <c r="AF35" i="4"/>
  <c r="AE36" i="4" s="1"/>
  <c r="AG35" i="4"/>
  <c r="AH35" i="4" s="1"/>
  <c r="T34" i="4"/>
  <c r="U35" i="4" s="1"/>
  <c r="V35" i="4" s="1"/>
  <c r="X33" i="4"/>
  <c r="Y34" i="4" s="1"/>
  <c r="Z34" i="4" s="1"/>
  <c r="P32" i="4"/>
  <c r="O33" i="4" s="1"/>
  <c r="Q32" i="4"/>
  <c r="R32" i="4" s="1"/>
  <c r="K34" i="4"/>
  <c r="AB35" i="4"/>
  <c r="AA36" i="4" s="1"/>
  <c r="D36" i="4"/>
  <c r="C37" i="4" s="1"/>
  <c r="E36" i="4"/>
  <c r="F36" i="4" s="1"/>
  <c r="H37" i="4"/>
  <c r="G38" i="4" s="1"/>
  <c r="I37" i="4"/>
  <c r="J37" i="4" s="1"/>
  <c r="L37" i="3"/>
  <c r="K38" i="3" s="1"/>
  <c r="M38" i="3"/>
  <c r="P35" i="3"/>
  <c r="O36" i="3" s="1"/>
  <c r="Q36" i="3"/>
  <c r="H37" i="3"/>
  <c r="G38" i="3" s="1"/>
  <c r="I38" i="3"/>
  <c r="I37" i="3"/>
  <c r="C26" i="3"/>
  <c r="D25" i="3"/>
  <c r="AB36" i="4" l="1"/>
  <c r="AC37" i="4" s="1"/>
  <c r="AD37" i="4" s="1"/>
  <c r="S35" i="4"/>
  <c r="AC36" i="4"/>
  <c r="AD36" i="4" s="1"/>
  <c r="L34" i="4"/>
  <c r="K35" i="4" s="1"/>
  <c r="P33" i="4"/>
  <c r="O34" i="4" s="1"/>
  <c r="AF36" i="4"/>
  <c r="AE37" i="4" s="1"/>
  <c r="Q33" i="4"/>
  <c r="R33" i="4" s="1"/>
  <c r="AG36" i="4"/>
  <c r="AH36" i="4" s="1"/>
  <c r="W34" i="4"/>
  <c r="D37" i="4"/>
  <c r="C38" i="4" s="1"/>
  <c r="E37" i="4"/>
  <c r="F37" i="4" s="1"/>
  <c r="H38" i="4"/>
  <c r="G39" i="4" s="1"/>
  <c r="I38" i="4"/>
  <c r="J38" i="4" s="1"/>
  <c r="L38" i="3"/>
  <c r="K39" i="3" s="1"/>
  <c r="M39" i="3"/>
  <c r="P36" i="3"/>
  <c r="O37" i="3" s="1"/>
  <c r="Q37" i="3"/>
  <c r="H38" i="3"/>
  <c r="G39" i="3" s="1"/>
  <c r="I39" i="3"/>
  <c r="C27" i="3"/>
  <c r="D26" i="3"/>
  <c r="E26" i="3"/>
  <c r="Q34" i="4" l="1"/>
  <c r="R34" i="4" s="1"/>
  <c r="M35" i="4"/>
  <c r="N35" i="4" s="1"/>
  <c r="AG37" i="4"/>
  <c r="AH37" i="4" s="1"/>
  <c r="AA37" i="4"/>
  <c r="X34" i="4"/>
  <c r="W35" i="4" s="1"/>
  <c r="L35" i="4"/>
  <c r="K36" i="4" s="1"/>
  <c r="T35" i="4"/>
  <c r="U36" i="4" s="1"/>
  <c r="V36" i="4" s="1"/>
  <c r="AF37" i="4"/>
  <c r="AE38" i="4" s="1"/>
  <c r="P34" i="4"/>
  <c r="O35" i="4" s="1"/>
  <c r="D38" i="4"/>
  <c r="C39" i="4" s="1"/>
  <c r="E38" i="4"/>
  <c r="F38" i="4" s="1"/>
  <c r="H39" i="4"/>
  <c r="G40" i="4" s="1"/>
  <c r="I39" i="4"/>
  <c r="J39" i="4" s="1"/>
  <c r="L39" i="3"/>
  <c r="K40" i="3" s="1"/>
  <c r="M40" i="3"/>
  <c r="P37" i="3"/>
  <c r="O38" i="3" s="1"/>
  <c r="Q38" i="3"/>
  <c r="H39" i="3"/>
  <c r="G40" i="3" s="1"/>
  <c r="I40" i="3"/>
  <c r="C28" i="3"/>
  <c r="D27" i="3"/>
  <c r="E27" i="3"/>
  <c r="X35" i="4" l="1"/>
  <c r="Y36" i="4"/>
  <c r="Z36" i="4" s="1"/>
  <c r="Q35" i="4"/>
  <c r="R35" i="4" s="1"/>
  <c r="Y35" i="4"/>
  <c r="Z35" i="4" s="1"/>
  <c r="L36" i="4"/>
  <c r="M37" i="4" s="1"/>
  <c r="N37" i="4" s="1"/>
  <c r="P35" i="4"/>
  <c r="O36" i="4" s="1"/>
  <c r="AF38" i="4"/>
  <c r="AE39" i="4" s="1"/>
  <c r="AG38" i="4"/>
  <c r="AH38" i="4" s="1"/>
  <c r="S36" i="4"/>
  <c r="M36" i="4"/>
  <c r="N36" i="4" s="1"/>
  <c r="AB37" i="4"/>
  <c r="AA38" i="4" s="1"/>
  <c r="W36" i="4"/>
  <c r="D39" i="4"/>
  <c r="C40" i="4" s="1"/>
  <c r="E39" i="4"/>
  <c r="F39" i="4" s="1"/>
  <c r="H40" i="4"/>
  <c r="G41" i="4" s="1"/>
  <c r="I40" i="4"/>
  <c r="J40" i="4" s="1"/>
  <c r="L40" i="3"/>
  <c r="K41" i="3" s="1"/>
  <c r="M41" i="3"/>
  <c r="P38" i="3"/>
  <c r="O39" i="3" s="1"/>
  <c r="Q39" i="3"/>
  <c r="H40" i="3"/>
  <c r="G41" i="3" s="1"/>
  <c r="I41" i="3"/>
  <c r="D28" i="3"/>
  <c r="E28" i="3"/>
  <c r="Q36" i="4" l="1"/>
  <c r="R36" i="4" s="1"/>
  <c r="I41" i="4"/>
  <c r="J41" i="4" s="1"/>
  <c r="AB38" i="4"/>
  <c r="AA39" i="4" s="1"/>
  <c r="AC38" i="4"/>
  <c r="AD38" i="4" s="1"/>
  <c r="K37" i="4"/>
  <c r="T36" i="4"/>
  <c r="U37" i="4"/>
  <c r="V37" i="4" s="1"/>
  <c r="S37" i="4"/>
  <c r="X36" i="4"/>
  <c r="Y37" i="4" s="1"/>
  <c r="Z37" i="4" s="1"/>
  <c r="AG39" i="4"/>
  <c r="AH39" i="4" s="1"/>
  <c r="AF39" i="4"/>
  <c r="AE40" i="4" s="1"/>
  <c r="P36" i="4"/>
  <c r="O37" i="4" s="1"/>
  <c r="D40" i="4"/>
  <c r="C41" i="4" s="1"/>
  <c r="E40" i="4"/>
  <c r="F40" i="4" s="1"/>
  <c r="H41" i="4"/>
  <c r="G42" i="4" s="1"/>
  <c r="L41" i="3"/>
  <c r="K42" i="3" s="1"/>
  <c r="M42" i="3"/>
  <c r="P39" i="3"/>
  <c r="O40" i="3" s="1"/>
  <c r="Q40" i="3"/>
  <c r="H41" i="3"/>
  <c r="G42" i="3" s="1"/>
  <c r="I42" i="3"/>
  <c r="E29" i="3"/>
  <c r="C29" i="3"/>
  <c r="Q37" i="4" l="1"/>
  <c r="R37" i="4" s="1"/>
  <c r="T37" i="4"/>
  <c r="U38" i="4"/>
  <c r="V38" i="4" s="1"/>
  <c r="S38" i="4"/>
  <c r="AF40" i="4"/>
  <c r="AE41" i="4" s="1"/>
  <c r="L37" i="4"/>
  <c r="K38" i="4" s="1"/>
  <c r="AG40" i="4"/>
  <c r="AH40" i="4" s="1"/>
  <c r="AB39" i="4"/>
  <c r="AA40" i="4" s="1"/>
  <c r="P37" i="4"/>
  <c r="O38" i="4" s="1"/>
  <c r="AC39" i="4"/>
  <c r="AD39" i="4" s="1"/>
  <c r="I42" i="4"/>
  <c r="J42" i="4" s="1"/>
  <c r="D41" i="4"/>
  <c r="C42" i="4" s="1"/>
  <c r="E41" i="4"/>
  <c r="F41" i="4" s="1"/>
  <c r="H42" i="4"/>
  <c r="G43" i="4" s="1"/>
  <c r="L42" i="3"/>
  <c r="K43" i="3" s="1"/>
  <c r="M43" i="3"/>
  <c r="P40" i="3"/>
  <c r="O41" i="3" s="1"/>
  <c r="Q41" i="3"/>
  <c r="H42" i="3"/>
  <c r="G43" i="3" s="1"/>
  <c r="I43" i="3"/>
  <c r="D29" i="3"/>
  <c r="P38" i="4" l="1"/>
  <c r="O39" i="4" s="1"/>
  <c r="AG41" i="4"/>
  <c r="AH41" i="4" s="1"/>
  <c r="M38" i="4"/>
  <c r="N38" i="4" s="1"/>
  <c r="T38" i="4"/>
  <c r="U39" i="4" s="1"/>
  <c r="V39" i="4" s="1"/>
  <c r="S39" i="4"/>
  <c r="AC40" i="4"/>
  <c r="AD40" i="4" s="1"/>
  <c r="L38" i="4"/>
  <c r="K39" i="4" s="1"/>
  <c r="AF41" i="4"/>
  <c r="AE42" i="4" s="1"/>
  <c r="Q38" i="4"/>
  <c r="R38" i="4" s="1"/>
  <c r="AB40" i="4"/>
  <c r="AA41" i="4" s="1"/>
  <c r="W37" i="4"/>
  <c r="I43" i="4"/>
  <c r="J43" i="4" s="1"/>
  <c r="D42" i="4"/>
  <c r="C43" i="4" s="1"/>
  <c r="E42" i="4"/>
  <c r="F42" i="4" s="1"/>
  <c r="H43" i="4"/>
  <c r="G44" i="4" s="1"/>
  <c r="L43" i="3"/>
  <c r="K44" i="3" s="1"/>
  <c r="M44" i="3"/>
  <c r="P41" i="3"/>
  <c r="O42" i="3" s="1"/>
  <c r="Q42" i="3"/>
  <c r="H43" i="3"/>
  <c r="G44" i="3" s="1"/>
  <c r="I44" i="3"/>
  <c r="E30" i="3"/>
  <c r="C30" i="3"/>
  <c r="I44" i="4" l="1"/>
  <c r="J44" i="4" s="1"/>
  <c r="AC41" i="4"/>
  <c r="AD41" i="4" s="1"/>
  <c r="AB41" i="4"/>
  <c r="AA42" i="4" s="1"/>
  <c r="AF42" i="4"/>
  <c r="AE43" i="4" s="1"/>
  <c r="X37" i="4"/>
  <c r="W38" i="4" s="1"/>
  <c r="L39" i="4"/>
  <c r="K40" i="4" s="1"/>
  <c r="P39" i="4"/>
  <c r="O40" i="4" s="1"/>
  <c r="T39" i="4"/>
  <c r="U40" i="4" s="1"/>
  <c r="V40" i="4" s="1"/>
  <c r="AG42" i="4"/>
  <c r="AH42" i="4" s="1"/>
  <c r="M39" i="4"/>
  <c r="N39" i="4" s="1"/>
  <c r="Q39" i="4"/>
  <c r="R39" i="4" s="1"/>
  <c r="D43" i="4"/>
  <c r="C44" i="4" s="1"/>
  <c r="E43" i="4"/>
  <c r="F43" i="4" s="1"/>
  <c r="H44" i="4"/>
  <c r="G45" i="4" s="1"/>
  <c r="L44" i="3"/>
  <c r="K45" i="3" s="1"/>
  <c r="M45" i="3"/>
  <c r="P42" i="3"/>
  <c r="O43" i="3" s="1"/>
  <c r="Q43" i="3"/>
  <c r="H44" i="3"/>
  <c r="G45" i="3" s="1"/>
  <c r="I45" i="3"/>
  <c r="C31" i="3"/>
  <c r="D30" i="3"/>
  <c r="M40" i="4" l="1"/>
  <c r="N40" i="4" s="1"/>
  <c r="S40" i="4"/>
  <c r="U41" i="4" s="1"/>
  <c r="V41" i="4" s="1"/>
  <c r="AG43" i="4"/>
  <c r="AH43" i="4" s="1"/>
  <c r="I45" i="4"/>
  <c r="J45" i="4" s="1"/>
  <c r="Y38" i="4"/>
  <c r="Z38" i="4" s="1"/>
  <c r="X38" i="4"/>
  <c r="W39" i="4" s="1"/>
  <c r="T40" i="4"/>
  <c r="S41" i="4" s="1"/>
  <c r="AF43" i="4"/>
  <c r="AE44" i="4" s="1"/>
  <c r="AB42" i="4"/>
  <c r="AA43" i="4" s="1"/>
  <c r="L40" i="4"/>
  <c r="K41" i="4" s="1"/>
  <c r="AC42" i="4"/>
  <c r="AD42" i="4" s="1"/>
  <c r="P40" i="4"/>
  <c r="O41" i="4" s="1"/>
  <c r="Q40" i="4"/>
  <c r="R40" i="4" s="1"/>
  <c r="D44" i="4"/>
  <c r="C45" i="4" s="1"/>
  <c r="E44" i="4"/>
  <c r="F44" i="4" s="1"/>
  <c r="H45" i="4"/>
  <c r="G46" i="4" s="1"/>
  <c r="L45" i="3"/>
  <c r="K46" i="3" s="1"/>
  <c r="M46" i="3"/>
  <c r="P43" i="3"/>
  <c r="O44" i="3" s="1"/>
  <c r="Q44" i="3"/>
  <c r="H45" i="3"/>
  <c r="G46" i="3" s="1"/>
  <c r="I46" i="3"/>
  <c r="D31" i="3"/>
  <c r="E31" i="3"/>
  <c r="Y39" i="4" l="1"/>
  <c r="Z39" i="4" s="1"/>
  <c r="AC43" i="4"/>
  <c r="AD43" i="4" s="1"/>
  <c r="Q41" i="4"/>
  <c r="R41" i="4" s="1"/>
  <c r="T41" i="4"/>
  <c r="U42" i="4" s="1"/>
  <c r="V42" i="4" s="1"/>
  <c r="P41" i="4"/>
  <c r="O42" i="4" s="1"/>
  <c r="L41" i="4"/>
  <c r="K42" i="4" s="1"/>
  <c r="M41" i="4"/>
  <c r="N41" i="4" s="1"/>
  <c r="AF44" i="4"/>
  <c r="AE45" i="4" s="1"/>
  <c r="AG44" i="4"/>
  <c r="AH44" i="4" s="1"/>
  <c r="X39" i="4"/>
  <c r="Y40" i="4"/>
  <c r="Z40" i="4" s="1"/>
  <c r="AB43" i="4"/>
  <c r="AA44" i="4" s="1"/>
  <c r="W40" i="4"/>
  <c r="I46" i="4"/>
  <c r="J46" i="4" s="1"/>
  <c r="D45" i="4"/>
  <c r="C46" i="4" s="1"/>
  <c r="E45" i="4"/>
  <c r="F45" i="4" s="1"/>
  <c r="H46" i="4"/>
  <c r="G47" i="4" s="1"/>
  <c r="L46" i="3"/>
  <c r="K47" i="3" s="1"/>
  <c r="P44" i="3"/>
  <c r="O45" i="3" s="1"/>
  <c r="Q45" i="3"/>
  <c r="H46" i="3"/>
  <c r="G47" i="3" s="1"/>
  <c r="I47" i="3"/>
  <c r="E32" i="3"/>
  <c r="C32" i="3"/>
  <c r="S42" i="4" l="1"/>
  <c r="M42" i="4"/>
  <c r="N42" i="4" s="1"/>
  <c r="Q42" i="4"/>
  <c r="R42" i="4" s="1"/>
  <c r="AC44" i="4"/>
  <c r="AD44" i="4" s="1"/>
  <c r="T42" i="4"/>
  <c r="S43" i="4" s="1"/>
  <c r="U43" i="4"/>
  <c r="V43" i="4" s="1"/>
  <c r="AB44" i="4"/>
  <c r="AA45" i="4" s="1"/>
  <c r="X40" i="4"/>
  <c r="Y41" i="4" s="1"/>
  <c r="Z41" i="4" s="1"/>
  <c r="AG45" i="4"/>
  <c r="AH45" i="4" s="1"/>
  <c r="L42" i="4"/>
  <c r="K43" i="4" s="1"/>
  <c r="P42" i="4"/>
  <c r="O43" i="4" s="1"/>
  <c r="AF45" i="4"/>
  <c r="AE46" i="4" s="1"/>
  <c r="D46" i="4"/>
  <c r="C47" i="4" s="1"/>
  <c r="E46" i="4"/>
  <c r="F46" i="4" s="1"/>
  <c r="H47" i="4"/>
  <c r="G48" i="4" s="1"/>
  <c r="I47" i="4"/>
  <c r="J47" i="4" s="1"/>
  <c r="K48" i="3"/>
  <c r="L47" i="3"/>
  <c r="M48" i="3"/>
  <c r="M47" i="3"/>
  <c r="P45" i="3"/>
  <c r="O46" i="3" s="1"/>
  <c r="Q46" i="3"/>
  <c r="H47" i="3"/>
  <c r="G48" i="3" s="1"/>
  <c r="I48" i="3"/>
  <c r="D32" i="3"/>
  <c r="AG46" i="4" l="1"/>
  <c r="AH46" i="4" s="1"/>
  <c r="T43" i="4"/>
  <c r="U44" i="4"/>
  <c r="V44" i="4" s="1"/>
  <c r="AC45" i="4"/>
  <c r="AD45" i="4" s="1"/>
  <c r="S44" i="4"/>
  <c r="Q43" i="4"/>
  <c r="R43" i="4" s="1"/>
  <c r="P43" i="4"/>
  <c r="O44" i="4" s="1"/>
  <c r="AC46" i="4"/>
  <c r="AD46" i="4" s="1"/>
  <c r="AB45" i="4"/>
  <c r="AA46" i="4" s="1"/>
  <c r="L43" i="4"/>
  <c r="K44" i="4" s="1"/>
  <c r="M43" i="4"/>
  <c r="N43" i="4" s="1"/>
  <c r="AF46" i="4"/>
  <c r="AE47" i="4" s="1"/>
  <c r="W41" i="4"/>
  <c r="D47" i="4"/>
  <c r="C48" i="4" s="1"/>
  <c r="E47" i="4"/>
  <c r="F47" i="4" s="1"/>
  <c r="H48" i="4"/>
  <c r="G49" i="4" s="1"/>
  <c r="I48" i="4"/>
  <c r="J48" i="4" s="1"/>
  <c r="K49" i="3"/>
  <c r="L48" i="3"/>
  <c r="M49" i="3"/>
  <c r="P46" i="3"/>
  <c r="O47" i="3" s="1"/>
  <c r="Q47" i="3"/>
  <c r="H48" i="3"/>
  <c r="G49" i="3" s="1"/>
  <c r="I49" i="3"/>
  <c r="E33" i="3"/>
  <c r="C33" i="3"/>
  <c r="P44" i="4" l="1"/>
  <c r="O45" i="4" s="1"/>
  <c r="AG47" i="4"/>
  <c r="AH47" i="4" s="1"/>
  <c r="T44" i="4"/>
  <c r="S45" i="4" s="1"/>
  <c r="L44" i="4"/>
  <c r="K45" i="4" s="1"/>
  <c r="AF47" i="4"/>
  <c r="AE48" i="4" s="1"/>
  <c r="Q44" i="4"/>
  <c r="R44" i="4" s="1"/>
  <c r="M44" i="4"/>
  <c r="N44" i="4" s="1"/>
  <c r="X41" i="4"/>
  <c r="Y42" i="4" s="1"/>
  <c r="Z42" i="4" s="1"/>
  <c r="AB46" i="4"/>
  <c r="AA47" i="4" s="1"/>
  <c r="D48" i="4"/>
  <c r="C49" i="4" s="1"/>
  <c r="E48" i="4"/>
  <c r="F48" i="4" s="1"/>
  <c r="H49" i="4"/>
  <c r="G50" i="4" s="1"/>
  <c r="I49" i="4"/>
  <c r="J49" i="4" s="1"/>
  <c r="L49" i="3"/>
  <c r="K50" i="3" s="1"/>
  <c r="M50" i="3"/>
  <c r="P47" i="3"/>
  <c r="O48" i="3" s="1"/>
  <c r="Q48" i="3"/>
  <c r="H49" i="3"/>
  <c r="G50" i="3" s="1"/>
  <c r="I50" i="3"/>
  <c r="D33" i="3"/>
  <c r="U45" i="4" l="1"/>
  <c r="V45" i="4" s="1"/>
  <c r="AG48" i="4"/>
  <c r="AH48" i="4" s="1"/>
  <c r="T45" i="4"/>
  <c r="U46" i="4" s="1"/>
  <c r="V46" i="4" s="1"/>
  <c r="AC47" i="4"/>
  <c r="AD47" i="4" s="1"/>
  <c r="M45" i="4"/>
  <c r="N45" i="4" s="1"/>
  <c r="L45" i="4"/>
  <c r="K46" i="4" s="1"/>
  <c r="AB47" i="4"/>
  <c r="AA48" i="4" s="1"/>
  <c r="P45" i="4"/>
  <c r="O46" i="4" s="1"/>
  <c r="AF48" i="4"/>
  <c r="AE49" i="4" s="1"/>
  <c r="Q45" i="4"/>
  <c r="R45" i="4" s="1"/>
  <c r="W42" i="4"/>
  <c r="S46" i="4"/>
  <c r="I50" i="4"/>
  <c r="J50" i="4" s="1"/>
  <c r="D49" i="4"/>
  <c r="C50" i="4" s="1"/>
  <c r="E49" i="4"/>
  <c r="F49" i="4" s="1"/>
  <c r="H50" i="4"/>
  <c r="G51" i="4" s="1"/>
  <c r="K51" i="3"/>
  <c r="L50" i="3"/>
  <c r="M51" i="3"/>
  <c r="P48" i="3"/>
  <c r="O49" i="3" s="1"/>
  <c r="Q49" i="3"/>
  <c r="H50" i="3"/>
  <c r="G51" i="3" s="1"/>
  <c r="I51" i="3"/>
  <c r="E34" i="3"/>
  <c r="C34" i="3"/>
  <c r="M46" i="4" l="1"/>
  <c r="N46" i="4" s="1"/>
  <c r="AB48" i="4"/>
  <c r="AA49" i="4" s="1"/>
  <c r="L46" i="4"/>
  <c r="K47" i="4" s="1"/>
  <c r="AG49" i="4"/>
  <c r="AH49" i="4" s="1"/>
  <c r="AC48" i="4"/>
  <c r="AD48" i="4" s="1"/>
  <c r="AF49" i="4"/>
  <c r="AE50" i="4" s="1"/>
  <c r="P46" i="4"/>
  <c r="O47" i="4" s="1"/>
  <c r="X42" i="4"/>
  <c r="W43" i="4" s="1"/>
  <c r="T46" i="4"/>
  <c r="U47" i="4" s="1"/>
  <c r="V47" i="4" s="1"/>
  <c r="Q46" i="4"/>
  <c r="R46" i="4" s="1"/>
  <c r="D50" i="4"/>
  <c r="C51" i="4" s="1"/>
  <c r="E50" i="4"/>
  <c r="F50" i="4" s="1"/>
  <c r="H51" i="4"/>
  <c r="G52" i="4" s="1"/>
  <c r="I51" i="4"/>
  <c r="J51" i="4" s="1"/>
  <c r="K52" i="3"/>
  <c r="L51" i="3"/>
  <c r="M52" i="3"/>
  <c r="P49" i="3"/>
  <c r="O50" i="3" s="1"/>
  <c r="Q50" i="3"/>
  <c r="H51" i="3"/>
  <c r="G52" i="3" s="1"/>
  <c r="I52" i="3"/>
  <c r="D34" i="3"/>
  <c r="E35" i="3" s="1"/>
  <c r="Y43" i="4" l="1"/>
  <c r="Z43" i="4" s="1"/>
  <c r="X43" i="4"/>
  <c r="Y44" i="4"/>
  <c r="Z44" i="4" s="1"/>
  <c r="AF50" i="4"/>
  <c r="AE51" i="4" s="1"/>
  <c r="M47" i="4"/>
  <c r="N47" i="4" s="1"/>
  <c r="AG50" i="4"/>
  <c r="AH50" i="4" s="1"/>
  <c r="AB49" i="4"/>
  <c r="AA50" i="4" s="1"/>
  <c r="L47" i="4"/>
  <c r="K48" i="4" s="1"/>
  <c r="P47" i="4"/>
  <c r="O48" i="4" s="1"/>
  <c r="Q47" i="4"/>
  <c r="R47" i="4" s="1"/>
  <c r="AC49" i="4"/>
  <c r="AD49" i="4" s="1"/>
  <c r="W44" i="4"/>
  <c r="I52" i="4"/>
  <c r="J52" i="4" s="1"/>
  <c r="D51" i="4"/>
  <c r="C52" i="4" s="1"/>
  <c r="E51" i="4"/>
  <c r="F51" i="4" s="1"/>
  <c r="H52" i="4"/>
  <c r="G53" i="4" s="1"/>
  <c r="K53" i="3"/>
  <c r="L52" i="3"/>
  <c r="M53" i="3"/>
  <c r="P50" i="3"/>
  <c r="O51" i="3" s="1"/>
  <c r="Q51" i="3"/>
  <c r="H52" i="3"/>
  <c r="G53" i="3" s="1"/>
  <c r="I53" i="3"/>
  <c r="D35" i="3"/>
  <c r="C35" i="3"/>
  <c r="AB50" i="4" l="1"/>
  <c r="AA51" i="4" s="1"/>
  <c r="AG51" i="4"/>
  <c r="AH51" i="4" s="1"/>
  <c r="P48" i="4"/>
  <c r="O49" i="4" s="1"/>
  <c r="L48" i="4"/>
  <c r="K49" i="4" s="1"/>
  <c r="AC50" i="4"/>
  <c r="AD50" i="4" s="1"/>
  <c r="AF51" i="4"/>
  <c r="AE52" i="4" s="1"/>
  <c r="Q48" i="4"/>
  <c r="R48" i="4" s="1"/>
  <c r="X44" i="4"/>
  <c r="Y45" i="4" s="1"/>
  <c r="Z45" i="4" s="1"/>
  <c r="M48" i="4"/>
  <c r="N48" i="4" s="1"/>
  <c r="S47" i="4"/>
  <c r="D52" i="4"/>
  <c r="C53" i="4" s="1"/>
  <c r="E52" i="4"/>
  <c r="F52" i="4" s="1"/>
  <c r="H53" i="4"/>
  <c r="G54" i="4" s="1"/>
  <c r="I53" i="4"/>
  <c r="J53" i="4" s="1"/>
  <c r="L53" i="3"/>
  <c r="K54" i="3" s="1"/>
  <c r="M54" i="3"/>
  <c r="P51" i="3"/>
  <c r="O52" i="3" s="1"/>
  <c r="Q52" i="3"/>
  <c r="H53" i="3"/>
  <c r="G54" i="3" s="1"/>
  <c r="I54" i="3"/>
  <c r="C36" i="3"/>
  <c r="D36" i="3" s="1"/>
  <c r="E36" i="3"/>
  <c r="M49" i="4" l="1"/>
  <c r="N49" i="4" s="1"/>
  <c r="L49" i="4"/>
  <c r="K50" i="4" s="1"/>
  <c r="P49" i="4"/>
  <c r="O50" i="4" s="1"/>
  <c r="T47" i="4"/>
  <c r="S48" i="4" s="1"/>
  <c r="U48" i="4"/>
  <c r="V48" i="4" s="1"/>
  <c r="AB51" i="4"/>
  <c r="AA52" i="4" s="1"/>
  <c r="Q49" i="4"/>
  <c r="R49" i="4" s="1"/>
  <c r="AF52" i="4"/>
  <c r="AE53" i="4" s="1"/>
  <c r="AG52" i="4"/>
  <c r="AH52" i="4" s="1"/>
  <c r="AC51" i="4"/>
  <c r="AD51" i="4" s="1"/>
  <c r="W45" i="4"/>
  <c r="I54" i="4"/>
  <c r="J54" i="4" s="1"/>
  <c r="D53" i="4"/>
  <c r="C54" i="4" s="1"/>
  <c r="E53" i="4"/>
  <c r="F53" i="4" s="1"/>
  <c r="H54" i="4"/>
  <c r="G55" i="4" s="1"/>
  <c r="L54" i="3"/>
  <c r="K55" i="3" s="1"/>
  <c r="M55" i="3"/>
  <c r="P52" i="3"/>
  <c r="O53" i="3" s="1"/>
  <c r="Q53" i="3"/>
  <c r="H54" i="3"/>
  <c r="G55" i="3" s="1"/>
  <c r="I55" i="3"/>
  <c r="C37" i="3"/>
  <c r="E37" i="3"/>
  <c r="AC52" i="4" l="1"/>
  <c r="AD52" i="4" s="1"/>
  <c r="T48" i="4"/>
  <c r="U49" i="4" s="1"/>
  <c r="V49" i="4" s="1"/>
  <c r="AG53" i="4"/>
  <c r="AH53" i="4" s="1"/>
  <c r="L50" i="4"/>
  <c r="K51" i="4" s="1"/>
  <c r="AF53" i="4"/>
  <c r="AE54" i="4" s="1"/>
  <c r="M50" i="4"/>
  <c r="N50" i="4" s="1"/>
  <c r="P50" i="4"/>
  <c r="O51" i="4" s="1"/>
  <c r="Q50" i="4"/>
  <c r="R50" i="4" s="1"/>
  <c r="X45" i="4"/>
  <c r="W46" i="4" s="1"/>
  <c r="Y46" i="4"/>
  <c r="Z46" i="4" s="1"/>
  <c r="AB52" i="4"/>
  <c r="AA53" i="4" s="1"/>
  <c r="S49" i="4"/>
  <c r="I55" i="4"/>
  <c r="J55" i="4" s="1"/>
  <c r="D54" i="4"/>
  <c r="C55" i="4" s="1"/>
  <c r="E54" i="4"/>
  <c r="F54" i="4" s="1"/>
  <c r="H55" i="4"/>
  <c r="I56" i="4" s="1"/>
  <c r="J56" i="4" s="1"/>
  <c r="L55" i="3"/>
  <c r="K56" i="3" s="1"/>
  <c r="M56" i="3"/>
  <c r="P53" i="3"/>
  <c r="O54" i="3" s="1"/>
  <c r="Q54" i="3"/>
  <c r="H55" i="3"/>
  <c r="G56" i="3" s="1"/>
  <c r="I56" i="3"/>
  <c r="D37" i="3"/>
  <c r="E38" i="3" s="1"/>
  <c r="X46" i="4" l="1"/>
  <c r="Y47" i="4" s="1"/>
  <c r="Z47" i="4" s="1"/>
  <c r="AC53" i="4"/>
  <c r="AD53" i="4" s="1"/>
  <c r="AG54" i="4"/>
  <c r="AH54" i="4" s="1"/>
  <c r="AF54" i="4"/>
  <c r="AE55" i="4" s="1"/>
  <c r="M51" i="4"/>
  <c r="N51" i="4" s="1"/>
  <c r="T49" i="4"/>
  <c r="U50" i="4" s="1"/>
  <c r="V50" i="4" s="1"/>
  <c r="P51" i="4"/>
  <c r="O52" i="4" s="1"/>
  <c r="AB53" i="4"/>
  <c r="AA54" i="4" s="1"/>
  <c r="L51" i="4"/>
  <c r="K52" i="4" s="1"/>
  <c r="Q51" i="4"/>
  <c r="R51" i="4" s="1"/>
  <c r="W47" i="4"/>
  <c r="D55" i="4"/>
  <c r="C56" i="4" s="1"/>
  <c r="E55" i="4"/>
  <c r="F55" i="4" s="1"/>
  <c r="G56" i="4"/>
  <c r="L56" i="3"/>
  <c r="K57" i="3" s="1"/>
  <c r="M57" i="3"/>
  <c r="P54" i="3"/>
  <c r="O55" i="3" s="1"/>
  <c r="Q55" i="3"/>
  <c r="H56" i="3"/>
  <c r="G57" i="3" s="1"/>
  <c r="I57" i="3"/>
  <c r="C38" i="3"/>
  <c r="L52" i="4" l="1"/>
  <c r="K53" i="4" s="1"/>
  <c r="M52" i="4"/>
  <c r="N52" i="4" s="1"/>
  <c r="X47" i="4"/>
  <c r="W48" i="4" s="1"/>
  <c r="AF55" i="4"/>
  <c r="AE56" i="4" s="1"/>
  <c r="S50" i="4"/>
  <c r="AC54" i="4"/>
  <c r="AD54" i="4" s="1"/>
  <c r="Q52" i="4"/>
  <c r="R52" i="4" s="1"/>
  <c r="AB54" i="4"/>
  <c r="AC55" i="4" s="1"/>
  <c r="AD55" i="4" s="1"/>
  <c r="AG55" i="4"/>
  <c r="AH55" i="4" s="1"/>
  <c r="P52" i="4"/>
  <c r="O53" i="4" s="1"/>
  <c r="D56" i="4"/>
  <c r="C57" i="4" s="1"/>
  <c r="E56" i="4"/>
  <c r="F56" i="4" s="1"/>
  <c r="H56" i="4"/>
  <c r="G57" i="4" s="1"/>
  <c r="K58" i="3"/>
  <c r="L57" i="3"/>
  <c r="M58" i="3"/>
  <c r="P55" i="3"/>
  <c r="O56" i="3" s="1"/>
  <c r="Q56" i="3"/>
  <c r="H57" i="3"/>
  <c r="G58" i="3" s="1"/>
  <c r="I58" i="3"/>
  <c r="D38" i="3"/>
  <c r="Y48" i="4" l="1"/>
  <c r="Z48" i="4" s="1"/>
  <c r="X48" i="4"/>
  <c r="Y49" i="4"/>
  <c r="Z49" i="4" s="1"/>
  <c r="P53" i="4"/>
  <c r="O54" i="4" s="1"/>
  <c r="T50" i="4"/>
  <c r="U51" i="4" s="1"/>
  <c r="V51" i="4" s="1"/>
  <c r="Q53" i="4"/>
  <c r="R53" i="4" s="1"/>
  <c r="AG56" i="4"/>
  <c r="AH56" i="4" s="1"/>
  <c r="AA55" i="4"/>
  <c r="L53" i="4"/>
  <c r="K54" i="4" s="1"/>
  <c r="AF56" i="4"/>
  <c r="AE57" i="4" s="1"/>
  <c r="M53" i="4"/>
  <c r="N53" i="4" s="1"/>
  <c r="W49" i="4"/>
  <c r="D57" i="4"/>
  <c r="C58" i="4" s="1"/>
  <c r="E57" i="4"/>
  <c r="F57" i="4" s="1"/>
  <c r="H57" i="4"/>
  <c r="G58" i="4" s="1"/>
  <c r="I57" i="4"/>
  <c r="J57" i="4" s="1"/>
  <c r="L58" i="3"/>
  <c r="K59" i="3" s="1"/>
  <c r="P56" i="3"/>
  <c r="O57" i="3" s="1"/>
  <c r="Q57" i="3"/>
  <c r="H58" i="3"/>
  <c r="G59" i="3" s="1"/>
  <c r="I59" i="3"/>
  <c r="E39" i="3"/>
  <c r="C39" i="3"/>
  <c r="S51" i="4" l="1"/>
  <c r="AF57" i="4"/>
  <c r="AE58" i="4" s="1"/>
  <c r="P54" i="4"/>
  <c r="O55" i="4" s="1"/>
  <c r="T51" i="4"/>
  <c r="S52" i="4" s="1"/>
  <c r="AG57" i="4"/>
  <c r="AH57" i="4" s="1"/>
  <c r="L54" i="4"/>
  <c r="K55" i="4" s="1"/>
  <c r="Q54" i="4"/>
  <c r="R54" i="4" s="1"/>
  <c r="X49" i="4"/>
  <c r="Y50" i="4" s="1"/>
  <c r="Z50" i="4" s="1"/>
  <c r="M54" i="4"/>
  <c r="N54" i="4" s="1"/>
  <c r="AB55" i="4"/>
  <c r="AA56" i="4" s="1"/>
  <c r="D58" i="4"/>
  <c r="C59" i="4" s="1"/>
  <c r="E58" i="4"/>
  <c r="F58" i="4" s="1"/>
  <c r="H58" i="4"/>
  <c r="G59" i="4" s="1"/>
  <c r="I58" i="4"/>
  <c r="J58" i="4" s="1"/>
  <c r="L59" i="3"/>
  <c r="K60" i="3" s="1"/>
  <c r="M59" i="3"/>
  <c r="P57" i="3"/>
  <c r="O58" i="3" s="1"/>
  <c r="Q58" i="3"/>
  <c r="H59" i="3"/>
  <c r="G60" i="3" s="1"/>
  <c r="I60" i="3"/>
  <c r="D39" i="3"/>
  <c r="E40" i="3" s="1"/>
  <c r="M55" i="4" l="1"/>
  <c r="N55" i="4" s="1"/>
  <c r="AB56" i="4"/>
  <c r="AA57" i="4" s="1"/>
  <c r="T52" i="4"/>
  <c r="U53" i="4" s="1"/>
  <c r="V53" i="4" s="1"/>
  <c r="U52" i="4"/>
  <c r="V52" i="4" s="1"/>
  <c r="AC56" i="4"/>
  <c r="AD56" i="4" s="1"/>
  <c r="P55" i="4"/>
  <c r="O56" i="4" s="1"/>
  <c r="AF58" i="4"/>
  <c r="AE59" i="4" s="1"/>
  <c r="L55" i="4"/>
  <c r="K56" i="4" s="1"/>
  <c r="AG58" i="4"/>
  <c r="AH58" i="4" s="1"/>
  <c r="Q55" i="4"/>
  <c r="R55" i="4" s="1"/>
  <c r="W50" i="4"/>
  <c r="D59" i="4"/>
  <c r="C60" i="4" s="1"/>
  <c r="E59" i="4"/>
  <c r="F59" i="4" s="1"/>
  <c r="H59" i="4"/>
  <c r="G60" i="4" s="1"/>
  <c r="I59" i="4"/>
  <c r="J59" i="4" s="1"/>
  <c r="L60" i="3"/>
  <c r="K61" i="3" s="1"/>
  <c r="M61" i="3"/>
  <c r="M60" i="3"/>
  <c r="P58" i="3"/>
  <c r="O59" i="3" s="1"/>
  <c r="Q59" i="3"/>
  <c r="H60" i="3"/>
  <c r="G61" i="3" s="1"/>
  <c r="I61" i="3"/>
  <c r="C40" i="3"/>
  <c r="Q56" i="4" l="1"/>
  <c r="R56" i="4" s="1"/>
  <c r="S53" i="4"/>
  <c r="L56" i="4"/>
  <c r="K57" i="4" s="1"/>
  <c r="X50" i="4"/>
  <c r="Y51" i="4" s="1"/>
  <c r="Z51" i="4" s="1"/>
  <c r="M56" i="4"/>
  <c r="N56" i="4" s="1"/>
  <c r="AF59" i="4"/>
  <c r="AE60" i="4" s="1"/>
  <c r="AG59" i="4"/>
  <c r="AH59" i="4" s="1"/>
  <c r="AB57" i="4"/>
  <c r="AA58" i="4" s="1"/>
  <c r="T53" i="4"/>
  <c r="S54" i="4" s="1"/>
  <c r="P56" i="4"/>
  <c r="O57" i="4" s="1"/>
  <c r="AC57" i="4"/>
  <c r="AD57" i="4" s="1"/>
  <c r="I60" i="4"/>
  <c r="J60" i="4" s="1"/>
  <c r="D60" i="4"/>
  <c r="C61" i="4" s="1"/>
  <c r="E60" i="4"/>
  <c r="F60" i="4" s="1"/>
  <c r="H60" i="4"/>
  <c r="G61" i="4" s="1"/>
  <c r="L61" i="3"/>
  <c r="K62" i="3" s="1"/>
  <c r="P59" i="3"/>
  <c r="O60" i="3" s="1"/>
  <c r="Q60" i="3"/>
  <c r="H61" i="3"/>
  <c r="G62" i="3" s="1"/>
  <c r="I62" i="3"/>
  <c r="D40" i="3"/>
  <c r="E41" i="3" s="1"/>
  <c r="U54" i="4" l="1"/>
  <c r="V54" i="4" s="1"/>
  <c r="M57" i="4"/>
  <c r="N57" i="4" s="1"/>
  <c r="AC58" i="4"/>
  <c r="AD58" i="4" s="1"/>
  <c r="T54" i="4"/>
  <c r="U55" i="4"/>
  <c r="V55" i="4" s="1"/>
  <c r="Q57" i="4"/>
  <c r="R57" i="4" s="1"/>
  <c r="AF60" i="4"/>
  <c r="AE61" i="4" s="1"/>
  <c r="AG60" i="4"/>
  <c r="AH60" i="4" s="1"/>
  <c r="AB58" i="4"/>
  <c r="AA59" i="4" s="1"/>
  <c r="L57" i="4"/>
  <c r="K58" i="4" s="1"/>
  <c r="P57" i="4"/>
  <c r="O58" i="4" s="1"/>
  <c r="W51" i="4"/>
  <c r="S55" i="4"/>
  <c r="I61" i="4"/>
  <c r="J61" i="4" s="1"/>
  <c r="D61" i="4"/>
  <c r="C62" i="4" s="1"/>
  <c r="E61" i="4"/>
  <c r="F61" i="4" s="1"/>
  <c r="H61" i="4"/>
  <c r="G62" i="4" s="1"/>
  <c r="L62" i="3"/>
  <c r="K63" i="3" s="1"/>
  <c r="M62" i="3"/>
  <c r="P60" i="3"/>
  <c r="O61" i="3" s="1"/>
  <c r="Q61" i="3"/>
  <c r="H62" i="3"/>
  <c r="G63" i="3" s="1"/>
  <c r="I63" i="3"/>
  <c r="C41" i="3"/>
  <c r="T55" i="4" l="1"/>
  <c r="U56" i="4" s="1"/>
  <c r="V56" i="4" s="1"/>
  <c r="AF61" i="4"/>
  <c r="AE62" i="4" s="1"/>
  <c r="AG61" i="4"/>
  <c r="AH61" i="4" s="1"/>
  <c r="X51" i="4"/>
  <c r="W52" i="4" s="1"/>
  <c r="Y52" i="4"/>
  <c r="Z52" i="4" s="1"/>
  <c r="AC59" i="4"/>
  <c r="AD59" i="4" s="1"/>
  <c r="Q58" i="4"/>
  <c r="R58" i="4" s="1"/>
  <c r="AB59" i="4"/>
  <c r="AA60" i="4" s="1"/>
  <c r="P58" i="4"/>
  <c r="O59" i="4" s="1"/>
  <c r="L58" i="4"/>
  <c r="K59" i="4" s="1"/>
  <c r="M58" i="4"/>
  <c r="N58" i="4" s="1"/>
  <c r="I62" i="4"/>
  <c r="J62" i="4" s="1"/>
  <c r="D62" i="4"/>
  <c r="C63" i="4" s="1"/>
  <c r="D63" i="4" s="1"/>
  <c r="E62" i="4"/>
  <c r="F62" i="4" s="1"/>
  <c r="H62" i="4"/>
  <c r="G63" i="4" s="1"/>
  <c r="H63" i="4" s="1"/>
  <c r="L63" i="3"/>
  <c r="K64" i="3" s="1"/>
  <c r="M64" i="3"/>
  <c r="M63" i="3"/>
  <c r="P61" i="3"/>
  <c r="O62" i="3" s="1"/>
  <c r="Q62" i="3"/>
  <c r="H63" i="3"/>
  <c r="G64" i="3" s="1"/>
  <c r="I64" i="3"/>
  <c r="D41" i="3"/>
  <c r="X52" i="4" l="1"/>
  <c r="Y53" i="4"/>
  <c r="Z53" i="4" s="1"/>
  <c r="L59" i="4"/>
  <c r="K60" i="4" s="1"/>
  <c r="M59" i="4"/>
  <c r="N59" i="4" s="1"/>
  <c r="P59" i="4"/>
  <c r="O60" i="4" s="1"/>
  <c r="Q59" i="4"/>
  <c r="R59" i="4" s="1"/>
  <c r="AF62" i="4"/>
  <c r="AE63" i="4" s="1"/>
  <c r="AF63" i="4" s="1"/>
  <c r="AB60" i="4"/>
  <c r="AA61" i="4" s="1"/>
  <c r="AG62" i="4"/>
  <c r="AH62" i="4" s="1"/>
  <c r="AC60" i="4"/>
  <c r="AD60" i="4" s="1"/>
  <c r="S56" i="4"/>
  <c r="W53" i="4"/>
  <c r="I63" i="4"/>
  <c r="J63" i="4" s="1"/>
  <c r="E63" i="4"/>
  <c r="F63" i="4" s="1"/>
  <c r="L64" i="3"/>
  <c r="K65" i="3" s="1"/>
  <c r="P62" i="3"/>
  <c r="O63" i="3" s="1"/>
  <c r="Q63" i="3"/>
  <c r="H64" i="3"/>
  <c r="G65" i="3" s="1"/>
  <c r="I65" i="3"/>
  <c r="E42" i="3"/>
  <c r="C42" i="3"/>
  <c r="P60" i="4" l="1"/>
  <c r="O61" i="4" s="1"/>
  <c r="L60" i="4"/>
  <c r="K61" i="4" s="1"/>
  <c r="AB61" i="4"/>
  <c r="AC62" i="4" s="1"/>
  <c r="AD62" i="4" s="1"/>
  <c r="AC61" i="4"/>
  <c r="AD61" i="4" s="1"/>
  <c r="M60" i="4"/>
  <c r="N60" i="4" s="1"/>
  <c r="X53" i="4"/>
  <c r="W54" i="4" s="1"/>
  <c r="T56" i="4"/>
  <c r="U57" i="4" s="1"/>
  <c r="V57" i="4" s="1"/>
  <c r="Q60" i="4"/>
  <c r="R60" i="4" s="1"/>
  <c r="AG63" i="4"/>
  <c r="AH63" i="4" s="1"/>
  <c r="L65" i="3"/>
  <c r="K66" i="3" s="1"/>
  <c r="M65" i="3"/>
  <c r="P63" i="3"/>
  <c r="O64" i="3" s="1"/>
  <c r="Q64" i="3"/>
  <c r="H65" i="3"/>
  <c r="G66" i="3" s="1"/>
  <c r="I66" i="3"/>
  <c r="D42" i="3"/>
  <c r="Y54" i="4" l="1"/>
  <c r="Z54" i="4" s="1"/>
  <c r="X54" i="4"/>
  <c r="Y55" i="4" s="1"/>
  <c r="Z55" i="4" s="1"/>
  <c r="L61" i="4"/>
  <c r="K62" i="4" s="1"/>
  <c r="M61" i="4"/>
  <c r="N61" i="4" s="1"/>
  <c r="AA62" i="4"/>
  <c r="P61" i="4"/>
  <c r="O62" i="4" s="1"/>
  <c r="Q61" i="4"/>
  <c r="R61" i="4" s="1"/>
  <c r="S57" i="4"/>
  <c r="L66" i="3"/>
  <c r="K67" i="3" s="1"/>
  <c r="M66" i="3"/>
  <c r="P64" i="3"/>
  <c r="O65" i="3" s="1"/>
  <c r="Q65" i="3"/>
  <c r="H66" i="3"/>
  <c r="G67" i="3" s="1"/>
  <c r="I67" i="3"/>
  <c r="E43" i="3"/>
  <c r="C43" i="3"/>
  <c r="AB62" i="4" l="1"/>
  <c r="AA63" i="4" s="1"/>
  <c r="AB63" i="4" s="1"/>
  <c r="L62" i="4"/>
  <c r="K63" i="4" s="1"/>
  <c r="L63" i="4" s="1"/>
  <c r="M62" i="4"/>
  <c r="N62" i="4" s="1"/>
  <c r="P62" i="4"/>
  <c r="O63" i="4" s="1"/>
  <c r="P63" i="4" s="1"/>
  <c r="Q62" i="4"/>
  <c r="R62" i="4" s="1"/>
  <c r="T57" i="4"/>
  <c r="S58" i="4" s="1"/>
  <c r="W55" i="4"/>
  <c r="L67" i="3"/>
  <c r="K68" i="3" s="1"/>
  <c r="M67" i="3"/>
  <c r="P65" i="3"/>
  <c r="O66" i="3" s="1"/>
  <c r="Q66" i="3"/>
  <c r="H67" i="3"/>
  <c r="G68" i="3" s="1"/>
  <c r="I68" i="3"/>
  <c r="D43" i="3"/>
  <c r="U58" i="4" l="1"/>
  <c r="V58" i="4" s="1"/>
  <c r="M63" i="4"/>
  <c r="N63" i="4" s="1"/>
  <c r="T58" i="4"/>
  <c r="U59" i="4" s="1"/>
  <c r="V59" i="4" s="1"/>
  <c r="Q63" i="4"/>
  <c r="R63" i="4" s="1"/>
  <c r="X55" i="4"/>
  <c r="Y56" i="4" s="1"/>
  <c r="Z56" i="4" s="1"/>
  <c r="AC63" i="4"/>
  <c r="AD63" i="4" s="1"/>
  <c r="L68" i="3"/>
  <c r="K69" i="3" s="1"/>
  <c r="M69" i="3"/>
  <c r="M68" i="3"/>
  <c r="P66" i="3"/>
  <c r="O67" i="3" s="1"/>
  <c r="Q67" i="3"/>
  <c r="H68" i="3"/>
  <c r="G69" i="3" s="1"/>
  <c r="I69" i="3"/>
  <c r="E44" i="3"/>
  <c r="C44" i="3"/>
  <c r="W56" i="4" l="1"/>
  <c r="S59" i="4"/>
  <c r="L69" i="3"/>
  <c r="K70" i="3" s="1"/>
  <c r="P67" i="3"/>
  <c r="O68" i="3" s="1"/>
  <c r="Q68" i="3"/>
  <c r="H69" i="3"/>
  <c r="G70" i="3" s="1"/>
  <c r="I70" i="3"/>
  <c r="D44" i="3"/>
  <c r="T59" i="4" l="1"/>
  <c r="U60" i="4" s="1"/>
  <c r="V60" i="4" s="1"/>
  <c r="X56" i="4"/>
  <c r="Y57" i="4" s="1"/>
  <c r="Z57" i="4" s="1"/>
  <c r="S60" i="4"/>
  <c r="L70" i="3"/>
  <c r="K71" i="3" s="1"/>
  <c r="M71" i="3"/>
  <c r="M70" i="3"/>
  <c r="P68" i="3"/>
  <c r="O69" i="3" s="1"/>
  <c r="Q69" i="3"/>
  <c r="H70" i="3"/>
  <c r="G71" i="3" s="1"/>
  <c r="I71" i="3"/>
  <c r="E45" i="3"/>
  <c r="C45" i="3"/>
  <c r="W57" i="4" l="1"/>
  <c r="T60" i="4"/>
  <c r="U61" i="4" s="1"/>
  <c r="V61" i="4" s="1"/>
  <c r="X57" i="4"/>
  <c r="Y58" i="4" s="1"/>
  <c r="Z58" i="4" s="1"/>
  <c r="S61" i="4"/>
  <c r="L71" i="3"/>
  <c r="K72" i="3" s="1"/>
  <c r="P69" i="3"/>
  <c r="O70" i="3" s="1"/>
  <c r="Q70" i="3"/>
  <c r="H71" i="3"/>
  <c r="G72" i="3" s="1"/>
  <c r="I72" i="3"/>
  <c r="D45" i="3"/>
  <c r="W58" i="4" l="1"/>
  <c r="X58" i="4"/>
  <c r="Y59" i="4"/>
  <c r="Z59" i="4" s="1"/>
  <c r="T61" i="4"/>
  <c r="U62" i="4"/>
  <c r="V62" i="4" s="1"/>
  <c r="W59" i="4"/>
  <c r="S62" i="4"/>
  <c r="L72" i="3"/>
  <c r="K73" i="3" s="1"/>
  <c r="M72" i="3"/>
  <c r="P70" i="3"/>
  <c r="O71" i="3" s="1"/>
  <c r="Q71" i="3"/>
  <c r="H72" i="3"/>
  <c r="G73" i="3" s="1"/>
  <c r="I73" i="3"/>
  <c r="E46" i="3"/>
  <c r="C46" i="3"/>
  <c r="X59" i="4" l="1"/>
  <c r="Y60" i="4" s="1"/>
  <c r="Z60" i="4" s="1"/>
  <c r="T62" i="4"/>
  <c r="U63" i="4" s="1"/>
  <c r="V63" i="4" s="1"/>
  <c r="S63" i="4"/>
  <c r="T63" i="4" s="1"/>
  <c r="L73" i="3"/>
  <c r="K74" i="3" s="1"/>
  <c r="L74" i="3" s="1"/>
  <c r="M74" i="3"/>
  <c r="M73" i="3"/>
  <c r="P71" i="3"/>
  <c r="O72" i="3" s="1"/>
  <c r="Q72" i="3"/>
  <c r="H73" i="3"/>
  <c r="G74" i="3" s="1"/>
  <c r="H74" i="3" s="1"/>
  <c r="I74" i="3"/>
  <c r="D46" i="3"/>
  <c r="W60" i="4" l="1"/>
  <c r="X60" i="4" s="1"/>
  <c r="Y61" i="4" s="1"/>
  <c r="Z61" i="4" s="1"/>
  <c r="P72" i="3"/>
  <c r="O73" i="3" s="1"/>
  <c r="Q73" i="3"/>
  <c r="E47" i="3"/>
  <c r="C47" i="3"/>
  <c r="W61" i="4" l="1"/>
  <c r="X61" i="4"/>
  <c r="Y62" i="4" s="1"/>
  <c r="Z62" i="4" s="1"/>
  <c r="P73" i="3"/>
  <c r="O74" i="3" s="1"/>
  <c r="P74" i="3" s="1"/>
  <c r="Q74" i="3"/>
  <c r="D47" i="3"/>
  <c r="W62" i="4" l="1"/>
  <c r="E48" i="3"/>
  <c r="C48" i="3"/>
  <c r="X62" i="4" l="1"/>
  <c r="Y63" i="4" s="1"/>
  <c r="Z63" i="4" s="1"/>
  <c r="D48" i="3"/>
  <c r="W63" i="4" l="1"/>
  <c r="X63" i="4" s="1"/>
  <c r="E49" i="3"/>
  <c r="C49" i="3"/>
  <c r="D49" i="3" l="1"/>
  <c r="E50" i="3" s="1"/>
  <c r="C50" i="3" l="1"/>
  <c r="D50" i="3" l="1"/>
  <c r="E51" i="3" l="1"/>
  <c r="C51" i="3"/>
  <c r="D51" i="3" l="1"/>
  <c r="E52" i="3" l="1"/>
  <c r="C52" i="3"/>
  <c r="D52" i="3" l="1"/>
  <c r="E53" i="3" l="1"/>
  <c r="C53" i="3"/>
  <c r="D53" i="3" l="1"/>
  <c r="E54" i="3" l="1"/>
  <c r="C54" i="3"/>
  <c r="D54" i="3" l="1"/>
  <c r="E55" i="3" s="1"/>
  <c r="C55" i="3" l="1"/>
  <c r="D55" i="3" l="1"/>
  <c r="E56" i="3" l="1"/>
  <c r="C56" i="3"/>
  <c r="D56" i="3" l="1"/>
  <c r="E57" i="3" l="1"/>
  <c r="C57" i="3"/>
  <c r="D57" i="3" l="1"/>
  <c r="E58" i="3" l="1"/>
  <c r="C58" i="3"/>
  <c r="D58" i="3" l="1"/>
  <c r="E59" i="3" l="1"/>
  <c r="C59" i="3"/>
  <c r="D59" i="3" l="1"/>
  <c r="E60" i="3" l="1"/>
  <c r="C60" i="3"/>
  <c r="D60" i="3" l="1"/>
  <c r="E61" i="3" s="1"/>
  <c r="C61" i="3" l="1"/>
  <c r="D61" i="3" l="1"/>
  <c r="E62" i="3" l="1"/>
  <c r="C62" i="3"/>
  <c r="D62" i="3" l="1"/>
  <c r="E63" i="3" l="1"/>
  <c r="C63" i="3"/>
  <c r="D63" i="3" l="1"/>
  <c r="E64" i="3" l="1"/>
  <c r="C64" i="3"/>
  <c r="D64" i="3" l="1"/>
  <c r="E65" i="3" l="1"/>
  <c r="C65" i="3"/>
  <c r="D65" i="3" l="1"/>
  <c r="E66" i="3" l="1"/>
  <c r="C66" i="3"/>
  <c r="D66" i="3" l="1"/>
  <c r="E67" i="3" l="1"/>
  <c r="C67" i="3"/>
  <c r="D67" i="3" l="1"/>
  <c r="E68" i="3" l="1"/>
  <c r="C68" i="3"/>
  <c r="D68" i="3" l="1"/>
  <c r="E69" i="3" l="1"/>
  <c r="C69" i="3"/>
  <c r="D69" i="3" l="1"/>
  <c r="E70" i="3" l="1"/>
  <c r="C70" i="3"/>
  <c r="D70" i="3" l="1"/>
  <c r="E71" i="3" l="1"/>
  <c r="C71" i="3"/>
  <c r="D71" i="3" l="1"/>
  <c r="E72" i="3" s="1"/>
  <c r="C72" i="3" l="1"/>
  <c r="D72" i="3" l="1"/>
  <c r="E73" i="3" l="1"/>
  <c r="C73" i="3"/>
  <c r="D73" i="3" l="1"/>
  <c r="E74" i="3" l="1"/>
  <c r="C74" i="3"/>
  <c r="D74" i="3" s="1"/>
</calcChain>
</file>

<file path=xl/sharedStrings.xml><?xml version="1.0" encoding="utf-8"?>
<sst xmlns="http://schemas.openxmlformats.org/spreadsheetml/2006/main" count="322" uniqueCount="23">
  <si>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</si>
  <si>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</si>
  <si>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</si>
  <si>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</si>
  <si>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</si>
  <si>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</si>
  <si>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</si>
  <si>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</si>
  <si>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</si>
  <si>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</si>
  <si>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</si>
  <si>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</si>
  <si>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UANG BEREDAR DI INDONESIA</t>
  </si>
  <si>
    <t>t</t>
  </si>
  <si>
    <t>Data Testing</t>
  </si>
  <si>
    <t>Data Training</t>
  </si>
  <si>
    <t>Raw Data</t>
  </si>
  <si>
    <t>Yt</t>
  </si>
  <si>
    <t>Keterangan</t>
  </si>
  <si>
    <t>Normal dan Tidak terdapat autokorelasi</t>
  </si>
  <si>
    <t>Tidak normal, Tidak terdapat autokorelasi</t>
  </si>
  <si>
    <t>Normal, Lag ada yang keluar, Uji t H0 ditolak, uji LBQ H0 ditolak</t>
  </si>
  <si>
    <t>Normal, Tidak terdapat autokorelasi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</si>
</sst>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mbria Math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1" fillId="2" borderId="5" xfId="0" applyFont="1" applyFill="1" applyBorder="1"/>
    <xf numFmtId="0" fontId="3" fillId="2" borderId="5" xfId="0" applyFont="1" applyFill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7" xfId="0" applyBorder="1"/>
    <xf numFmtId="0" fontId="0" fillId="0" borderId="16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1" fillId="2" borderId="12" xfId="0" applyFont="1" applyFill="1" applyBorder="1"/>
    <xf numFmtId="0" fontId="3" fillId="2" borderId="23" xfId="0" applyFont="1" applyFill="1" applyBorder="1"/>
    <xf numFmtId="0" fontId="1" fillId="2" borderId="23" xfId="0" applyFont="1" applyFill="1" applyBorder="1"/>
    <xf numFmtId="0" fontId="1" fillId="2" borderId="13" xfId="0" applyFont="1" applyFill="1" applyBorder="1"/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2" borderId="21" xfId="0" applyFont="1" applyFill="1" applyBorder="1"/>
    <xf numFmtId="0" fontId="3" fillId="2" borderId="19" xfId="0" applyFont="1" applyFill="1" applyBorder="1"/>
    <xf numFmtId="0" fontId="1" fillId="2" borderId="19" xfId="0" applyFont="1" applyFill="1" applyBorder="1"/>
    <xf numFmtId="0" fontId="1" fillId="2" borderId="22" xfId="0" applyFont="1" applyFill="1" applyBorder="1"/>
    <xf numFmtId="0" fontId="0" fillId="0" borderId="26" xfId="0" applyBorder="1"/>
    <xf numFmtId="0" fontId="0" fillId="0" borderId="0" xfId="0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2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7A2BF91-D409-48B4-8E48-C4F702EE3EF6}"/>
                </a:ext>
              </a:extLst>
            </xdr:cNvPr>
            <xdr:cNvSpPr txBox="1"/>
          </xdr:nvSpPr>
          <xdr:spPr>
            <a:xfrm>
              <a:off x="147955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7A2BF91-D409-48B4-8E48-C4F702EE3EF6}"/>
                </a:ext>
              </a:extLst>
            </xdr:cNvPr>
            <xdr:cNvSpPr txBox="1"/>
          </xdr:nvSpPr>
          <xdr:spPr>
            <a:xfrm>
              <a:off x="147955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3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650EB6-F4F1-4D9E-8BC2-C05C5D6889BB}"/>
                </a:ext>
              </a:extLst>
            </xdr:cNvPr>
            <xdr:cNvSpPr txBox="1"/>
          </xdr:nvSpPr>
          <xdr:spPr>
            <a:xfrm>
              <a:off x="23812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650EB6-F4F1-4D9E-8BC2-C05C5D6889BB}"/>
                </a:ext>
              </a:extLst>
            </xdr:cNvPr>
            <xdr:cNvSpPr txBox="1"/>
          </xdr:nvSpPr>
          <xdr:spPr>
            <a:xfrm>
              <a:off x="23812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4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77D7213-777E-4302-92B4-960B40043103}"/>
                </a:ext>
              </a:extLst>
            </xdr:cNvPr>
            <xdr:cNvSpPr txBox="1"/>
          </xdr:nvSpPr>
          <xdr:spPr>
            <a:xfrm>
              <a:off x="29781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77D7213-777E-4302-92B4-960B40043103}"/>
                </a:ext>
              </a:extLst>
            </xdr:cNvPr>
            <xdr:cNvSpPr txBox="1"/>
          </xdr:nvSpPr>
          <xdr:spPr>
            <a:xfrm>
              <a:off x="29781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5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EFCC9C-C080-46DD-9F0F-715AE1BAA950}"/>
                </a:ext>
              </a:extLst>
            </xdr:cNvPr>
            <xdr:cNvSpPr txBox="1"/>
          </xdr:nvSpPr>
          <xdr:spPr>
            <a:xfrm>
              <a:off x="383540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EFCC9C-C080-46DD-9F0F-715AE1BAA950}"/>
                </a:ext>
              </a:extLst>
            </xdr:cNvPr>
            <xdr:cNvSpPr txBox="1"/>
          </xdr:nvSpPr>
          <xdr:spPr>
            <a:xfrm>
              <a:off x="383540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6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BA5F934-67F7-4E4D-A9F8-A59DDEF88047}"/>
                </a:ext>
              </a:extLst>
            </xdr:cNvPr>
            <xdr:cNvSpPr txBox="1"/>
          </xdr:nvSpPr>
          <xdr:spPr>
            <a:xfrm>
              <a:off x="1587500" y="23495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BA5F934-67F7-4E4D-A9F8-A59DDEF88047}"/>
                </a:ext>
              </a:extLst>
            </xdr:cNvPr>
            <xdr:cNvSpPr txBox="1"/>
          </xdr:nvSpPr>
          <xdr:spPr>
            <a:xfrm>
              <a:off x="1587500" y="23495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7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9D68025-401E-4F22-B26F-538B3C649E3E}"/>
                </a:ext>
              </a:extLst>
            </xdr:cNvPr>
            <xdr:cNvSpPr txBox="1"/>
          </xdr:nvSpPr>
          <xdr:spPr>
            <a:xfrm>
              <a:off x="2254250" y="22860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9D68025-401E-4F22-B26F-538B3C649E3E}"/>
                </a:ext>
              </a:extLst>
            </xdr:cNvPr>
            <xdr:cNvSpPr txBox="1"/>
          </xdr:nvSpPr>
          <xdr:spPr>
            <a:xfrm>
              <a:off x="2254250" y="22860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8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2C5D602-FE5D-46AB-BB86-3BEFC0920631}"/>
                </a:ext>
              </a:extLst>
            </xdr:cNvPr>
            <xdr:cNvSpPr txBox="1"/>
          </xdr:nvSpPr>
          <xdr:spPr>
            <a:xfrm>
              <a:off x="2851150" y="22225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2C5D602-FE5D-46AB-BB86-3BEFC0920631}"/>
                </a:ext>
              </a:extLst>
            </xdr:cNvPr>
            <xdr:cNvSpPr txBox="1"/>
          </xdr:nvSpPr>
          <xdr:spPr>
            <a:xfrm>
              <a:off x="2851150" y="22225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9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0BA3931-C70F-4745-A29D-4398F47BF159}"/>
                </a:ext>
              </a:extLst>
            </xdr:cNvPr>
            <xdr:cNvSpPr txBox="1"/>
          </xdr:nvSpPr>
          <xdr:spPr>
            <a:xfrm>
              <a:off x="3549650" y="20955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0BA3931-C70F-4745-A29D-4398F47BF159}"/>
                </a:ext>
              </a:extLst>
            </xdr:cNvPr>
            <xdr:cNvSpPr txBox="1"/>
          </xdr:nvSpPr>
          <xdr:spPr>
            <a:xfrm>
              <a:off x="3549650" y="20955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10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3567464-3504-43DF-AE65-9FA58136DBC8}"/>
                </a:ext>
              </a:extLst>
            </xdr:cNvPr>
            <xdr:cNvSpPr txBox="1"/>
          </xdr:nvSpPr>
          <xdr:spPr>
            <a:xfrm>
              <a:off x="4229100" y="6096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3567464-3504-43DF-AE65-9FA58136DBC8}"/>
                </a:ext>
              </a:extLst>
            </xdr:cNvPr>
            <xdr:cNvSpPr txBox="1"/>
          </xdr:nvSpPr>
          <xdr:spPr>
            <a:xfrm>
              <a:off x="4229100" y="6096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11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2C0D48F-13BF-47DE-88E2-E0EC6071C4BF}"/>
                </a:ext>
              </a:extLst>
            </xdr:cNvPr>
            <xdr:cNvSpPr txBox="1"/>
          </xdr:nvSpPr>
          <xdr:spPr>
            <a:xfrm>
              <a:off x="4895850" y="6032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2C0D48F-13BF-47DE-88E2-E0EC6071C4BF}"/>
                </a:ext>
              </a:extLst>
            </xdr:cNvPr>
            <xdr:cNvSpPr txBox="1"/>
          </xdr:nvSpPr>
          <xdr:spPr>
            <a:xfrm>
              <a:off x="4895850" y="6032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12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7059C7C-35CD-423B-9B52-3E1894061AEC}"/>
                </a:ext>
              </a:extLst>
            </xdr:cNvPr>
            <xdr:cNvSpPr txBox="1"/>
          </xdr:nvSpPr>
          <xdr:spPr>
            <a:xfrm>
              <a:off x="5492750" y="5969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7059C7C-35CD-423B-9B52-3E1894061AEC}"/>
                </a:ext>
              </a:extLst>
            </xdr:cNvPr>
            <xdr:cNvSpPr txBox="1"/>
          </xdr:nvSpPr>
          <xdr:spPr>
            <a:xfrm>
              <a:off x="5492750" y="5969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13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51C4A99-9DD1-4748-8B3A-C4E92628676F}"/>
                </a:ext>
              </a:extLst>
            </xdr:cNvPr>
            <xdr:cNvSpPr txBox="1"/>
          </xdr:nvSpPr>
          <xdr:spPr>
            <a:xfrm>
              <a:off x="6191250" y="5842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51C4A99-9DD1-4748-8B3A-C4E92628676F}"/>
                </a:ext>
              </a:extLst>
            </xdr:cNvPr>
            <xdr:cNvSpPr txBox="1"/>
          </xdr:nvSpPr>
          <xdr:spPr>
            <a:xfrm>
              <a:off x="6191250" y="5842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14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D05EC56-605E-490D-8F8C-E61C7C668ED5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D05EC56-605E-490D-8F8C-E61C7C668ED5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15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BF5378B-7CB1-4783-B593-61BCB3BAE75F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BF5378B-7CB1-4783-B593-61BCB3BAE75F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16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375C9F-4B42-43CA-9C38-9E26C5139E21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375C9F-4B42-43CA-9C38-9E26C5139E21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17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DC3F1C6-5078-403F-B48C-6AB5A5700353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DC3F1C6-5078-403F-B48C-6AB5A5700353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18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8619934-BC40-4A66-B61B-1988D7851153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8619934-BC40-4A66-B61B-1988D7851153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19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6847297-67FB-4A80-939D-20773356A7DC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6847297-67FB-4A80-939D-20773356A7DC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20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C57D023-DCF5-4F0B-AB96-619DAE2ED90A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C57D023-DCF5-4F0B-AB96-619DAE2ED90A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21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1E4A034-6E7D-4FC5-85BD-177F121570DB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1E4A034-6E7D-4FC5-85BD-177F121570DB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22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8653C6E-CECF-4C8F-91DC-3BDDEF030126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8653C6E-CECF-4C8F-91DC-3BDDEF030126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23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772F5FD-CCA2-40BD-BCB8-6820B3298267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772F5FD-CCA2-40BD-BCB8-6820B3298267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24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1FEA2C4-00DF-4048-8CDC-07E4163A3CAF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1FEA2C4-00DF-4048-8CDC-07E4163A3CAF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25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1FF725C-C558-4861-BB0B-C385E5976E0F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1FF725C-C558-4861-BB0B-C385E5976E0F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26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8D0F29A-6E0D-4E89-B1A9-DF59C4386667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8D0F29A-6E0D-4E89-B1A9-DF59C4386667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27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CC7140E-0A0C-49A4-B2A6-25482C38E126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CC7140E-0A0C-49A4-B2A6-25482C38E126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28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BF22844-872B-4561-8EDC-6F774D3A5088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BF22844-872B-4561-8EDC-6F774D3A5088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29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C1D63DE-ED5B-4672-B620-4E18B4CE37E0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C1D63DE-ED5B-4672-B620-4E18B4CE37E0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30</xdr:col>
      <xdr:colOff>266700</xdr:colOff>
      <xdr:row>2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FE71FFD-E91C-4624-9131-00D9A8161DE9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FE71FFD-E91C-4624-9131-00D9A8161DE9}"/>
                </a:ext>
              </a:extLst>
            </xdr:cNvPr>
            <xdr:cNvSpPr txBox="1"/>
          </xdr:nvSpPr>
          <xdr:spPr>
            <a:xfrm>
              <a:off x="6870700" y="2413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31</xdr:col>
      <xdr:colOff>273050</xdr:colOff>
      <xdr:row>2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0AB4876-E638-45D6-B5A6-D78CC6F61F36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0AB4876-E638-45D6-B5A6-D78CC6F61F36}"/>
                </a:ext>
              </a:extLst>
            </xdr:cNvPr>
            <xdr:cNvSpPr txBox="1"/>
          </xdr:nvSpPr>
          <xdr:spPr>
            <a:xfrm>
              <a:off x="7537450" y="2349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32</xdr:col>
      <xdr:colOff>209550</xdr:colOff>
      <xdr:row>2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D94F54D-E810-4DF2-A89A-A47FA2543C41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D94F54D-E810-4DF2-A89A-A47FA2543C41}"/>
                </a:ext>
              </a:extLst>
            </xdr:cNvPr>
            <xdr:cNvSpPr txBox="1"/>
          </xdr:nvSpPr>
          <xdr:spPr>
            <a:xfrm>
              <a:off x="8134350" y="2286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33</xdr:col>
      <xdr:colOff>247650</xdr:colOff>
      <xdr:row>2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AE8F335-E321-4837-92DD-2E3DE0086E74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AE8F335-E321-4837-92DD-2E3DE0086E74}"/>
                </a:ext>
              </a:extLst>
            </xdr:cNvPr>
            <xdr:cNvSpPr txBox="1"/>
          </xdr:nvSpPr>
          <xdr:spPr>
            <a:xfrm>
              <a:off x="8832850" y="2159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4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2F3197-6920-82F7-717B-26CF13E69D36}"/>
            </a:ext>
          </a:extLst>
        </xdr:cNvPr>
        <xdr:cNvSpPr txBox="1"/>
      </xdr:nvSpPr>
      <xdr:spPr>
        <a:xfrm>
          <a:off x="946150" y="60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</xdr:col>
      <xdr:colOff>323850</xdr:colOff>
      <xdr:row>0</xdr:row>
      <xdr:rowOff>146050</xdr:rowOff>
    </xdr:from>
    <xdr:ext cx="1704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CC02F85-2FD1-DB6B-07BF-BB823F344DC9}"/>
                </a:ext>
              </a:extLst>
            </xdr:cNvPr>
            <xdr:cNvSpPr txBox="1"/>
          </xdr:nvSpPr>
          <xdr:spPr>
            <a:xfrm>
              <a:off x="717550" y="146050"/>
              <a:ext cx="1704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CC02F85-2FD1-DB6B-07BF-BB823F344DC9}"/>
                </a:ext>
              </a:extLst>
            </xdr:cNvPr>
            <xdr:cNvSpPr txBox="1"/>
          </xdr:nvSpPr>
          <xdr:spPr>
            <a:xfrm>
              <a:off x="717550" y="146050"/>
              <a:ext cx="1704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</xdr:col>
      <xdr:colOff>266700</xdr:colOff>
      <xdr:row>1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9AD56A2-D52E-7B79-B4EB-AAD027A33A78}"/>
                </a:ext>
              </a:extLst>
            </xdr:cNvPr>
            <xdr:cNvSpPr txBox="1"/>
          </xdr:nvSpPr>
          <xdr:spPr>
            <a:xfrm>
              <a:off x="1358900" y="2286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9AD56A2-D52E-7B79-B4EB-AAD027A33A78}"/>
                </a:ext>
              </a:extLst>
            </xdr:cNvPr>
            <xdr:cNvSpPr txBox="1"/>
          </xdr:nvSpPr>
          <xdr:spPr>
            <a:xfrm>
              <a:off x="1358900" y="2286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3</xdr:col>
      <xdr:colOff>273050</xdr:colOff>
      <xdr:row>1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4E7D915-15BB-5F83-8A25-11B0EEADC5D9}"/>
                </a:ext>
              </a:extLst>
            </xdr:cNvPr>
            <xdr:cNvSpPr txBox="1"/>
          </xdr:nvSpPr>
          <xdr:spPr>
            <a:xfrm>
              <a:off x="2025650" y="2222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4E7D915-15BB-5F83-8A25-11B0EEADC5D9}"/>
                </a:ext>
              </a:extLst>
            </xdr:cNvPr>
            <xdr:cNvSpPr txBox="1"/>
          </xdr:nvSpPr>
          <xdr:spPr>
            <a:xfrm>
              <a:off x="2025650" y="2222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4</xdr:col>
      <xdr:colOff>209550</xdr:colOff>
      <xdr:row>1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4C02E9C-6099-E04E-85A2-B09396603BC0}"/>
                </a:ext>
              </a:extLst>
            </xdr:cNvPr>
            <xdr:cNvSpPr txBox="1"/>
          </xdr:nvSpPr>
          <xdr:spPr>
            <a:xfrm>
              <a:off x="2622550" y="2159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4C02E9C-6099-E04E-85A2-B09396603BC0}"/>
                </a:ext>
              </a:extLst>
            </xdr:cNvPr>
            <xdr:cNvSpPr txBox="1"/>
          </xdr:nvSpPr>
          <xdr:spPr>
            <a:xfrm>
              <a:off x="2622550" y="2159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5</xdr:col>
      <xdr:colOff>247650</xdr:colOff>
      <xdr:row>1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FB47577-57F6-0ABF-C7E1-6BC954F16465}"/>
                </a:ext>
              </a:extLst>
            </xdr:cNvPr>
            <xdr:cNvSpPr txBox="1"/>
          </xdr:nvSpPr>
          <xdr:spPr>
            <a:xfrm>
              <a:off x="3321050" y="2032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FB47577-57F6-0ABF-C7E1-6BC954F16465}"/>
                </a:ext>
              </a:extLst>
            </xdr:cNvPr>
            <xdr:cNvSpPr txBox="1"/>
          </xdr:nvSpPr>
          <xdr:spPr>
            <a:xfrm>
              <a:off x="3321050" y="2032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</xdr:col>
      <xdr:colOff>266700</xdr:colOff>
      <xdr:row>0</xdr:row>
      <xdr:rowOff>38100</xdr:rowOff>
    </xdr:from>
    <xdr:ext cx="11251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9F85A53-8483-BE9D-926C-ADB871B37CF9}"/>
                </a:ext>
              </a:extLst>
            </xdr:cNvPr>
            <xdr:cNvSpPr txBox="1"/>
          </xdr:nvSpPr>
          <xdr:spPr>
            <a:xfrm>
              <a:off x="1479550" y="38100"/>
              <a:ext cx="11251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𝜶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𝜷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𝟕</m:t>
                    </m:r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9F85A53-8483-BE9D-926C-ADB871B37CF9}"/>
                </a:ext>
              </a:extLst>
            </xdr:cNvPr>
            <xdr:cNvSpPr txBox="1"/>
          </xdr:nvSpPr>
          <xdr:spPr>
            <a:xfrm>
              <a:off x="1479550" y="38100"/>
              <a:ext cx="11251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𝜶</a:t>
              </a:r>
              <a:r>
                <a:rPr lang="en-US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=𝟎.𝟑   𝜷=𝟎.𝟕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6</xdr:col>
      <xdr:colOff>0</xdr:colOff>
      <xdr:row>1</xdr:row>
      <xdr:rowOff>31750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B3471A-A66C-4DCE-B97C-F1423C68B364}"/>
            </a:ext>
          </a:extLst>
        </xdr:cNvPr>
        <xdr:cNvSpPr txBox="1"/>
      </xdr:nvSpPr>
      <xdr:spPr>
        <a:xfrm>
          <a:off x="4089400" y="279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 b="1" kern="1200"/>
        </a:p>
      </xdr:txBody>
    </xdr:sp>
    <xdr:clientData/>
  </xdr:oneCellAnchor>
  <xdr:oneCellAnchor>
    <xdr:from>
      <xdr:col>6</xdr:col>
      <xdr:colOff>266700</xdr:colOff>
      <xdr:row>1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BD542C-8B20-4C77-A891-859748274D64}"/>
                </a:ext>
              </a:extLst>
            </xdr:cNvPr>
            <xdr:cNvSpPr txBox="1"/>
          </xdr:nvSpPr>
          <xdr:spPr>
            <a:xfrm>
              <a:off x="1479550" y="2286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BD542C-8B20-4C77-A891-859748274D64}"/>
                </a:ext>
              </a:extLst>
            </xdr:cNvPr>
            <xdr:cNvSpPr txBox="1"/>
          </xdr:nvSpPr>
          <xdr:spPr>
            <a:xfrm>
              <a:off x="1479550" y="2286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7</xdr:col>
      <xdr:colOff>273050</xdr:colOff>
      <xdr:row>1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4A5C01B-3CC3-4EA0-86D0-4BBA880F10BD}"/>
                </a:ext>
              </a:extLst>
            </xdr:cNvPr>
            <xdr:cNvSpPr txBox="1"/>
          </xdr:nvSpPr>
          <xdr:spPr>
            <a:xfrm>
              <a:off x="2381250" y="2222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4A5C01B-3CC3-4EA0-86D0-4BBA880F10BD}"/>
                </a:ext>
              </a:extLst>
            </xdr:cNvPr>
            <xdr:cNvSpPr txBox="1"/>
          </xdr:nvSpPr>
          <xdr:spPr>
            <a:xfrm>
              <a:off x="2381250" y="2222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8</xdr:col>
      <xdr:colOff>209550</xdr:colOff>
      <xdr:row>1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C8747DD-DB7E-49EA-9B2E-7029D9785007}"/>
                </a:ext>
              </a:extLst>
            </xdr:cNvPr>
            <xdr:cNvSpPr txBox="1"/>
          </xdr:nvSpPr>
          <xdr:spPr>
            <a:xfrm>
              <a:off x="2978150" y="2159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C8747DD-DB7E-49EA-9B2E-7029D9785007}"/>
                </a:ext>
              </a:extLst>
            </xdr:cNvPr>
            <xdr:cNvSpPr txBox="1"/>
          </xdr:nvSpPr>
          <xdr:spPr>
            <a:xfrm>
              <a:off x="2978150" y="2159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9</xdr:col>
      <xdr:colOff>247650</xdr:colOff>
      <xdr:row>1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F17711-554F-4FFC-A519-F3E09654AA68}"/>
                </a:ext>
              </a:extLst>
            </xdr:cNvPr>
            <xdr:cNvSpPr txBox="1"/>
          </xdr:nvSpPr>
          <xdr:spPr>
            <a:xfrm>
              <a:off x="3676650" y="2032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F17711-554F-4FFC-A519-F3E09654AA68}"/>
                </a:ext>
              </a:extLst>
            </xdr:cNvPr>
            <xdr:cNvSpPr txBox="1"/>
          </xdr:nvSpPr>
          <xdr:spPr>
            <a:xfrm>
              <a:off x="3676650" y="2032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6</xdr:col>
      <xdr:colOff>184150</xdr:colOff>
      <xdr:row>0</xdr:row>
      <xdr:rowOff>38100</xdr:rowOff>
    </xdr:from>
    <xdr:ext cx="11251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4CFEE16-C746-4A0C-BA15-42C636C7C2BE}"/>
                </a:ext>
              </a:extLst>
            </xdr:cNvPr>
            <xdr:cNvSpPr txBox="1"/>
          </xdr:nvSpPr>
          <xdr:spPr>
            <a:xfrm>
              <a:off x="4273550" y="38100"/>
              <a:ext cx="11251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𝜶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𝟓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𝜷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𝟓</m:t>
                    </m:r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4CFEE16-C746-4A0C-BA15-42C636C7C2BE}"/>
                </a:ext>
              </a:extLst>
            </xdr:cNvPr>
            <xdr:cNvSpPr txBox="1"/>
          </xdr:nvSpPr>
          <xdr:spPr>
            <a:xfrm>
              <a:off x="4273550" y="38100"/>
              <a:ext cx="11251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𝜶</a:t>
              </a:r>
              <a:r>
                <a:rPr lang="en-US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=𝟎.𝟓   𝜷=𝟎.𝟓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10</xdr:col>
      <xdr:colOff>0</xdr:colOff>
      <xdr:row>1</xdr:row>
      <xdr:rowOff>31750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DB94927-8006-4B1E-9A4D-5291C2CD69DD}"/>
            </a:ext>
          </a:extLst>
        </xdr:cNvPr>
        <xdr:cNvSpPr txBox="1"/>
      </xdr:nvSpPr>
      <xdr:spPr>
        <a:xfrm>
          <a:off x="4089400" y="279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 b="1" kern="1200"/>
        </a:p>
      </xdr:txBody>
    </xdr:sp>
    <xdr:clientData/>
  </xdr:oneCellAnchor>
  <xdr:oneCellAnchor>
    <xdr:from>
      <xdr:col>10</xdr:col>
      <xdr:colOff>266700</xdr:colOff>
      <xdr:row>1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36C3F4-2B3F-4517-A678-68830B334B49}"/>
                </a:ext>
              </a:extLst>
            </xdr:cNvPr>
            <xdr:cNvSpPr txBox="1"/>
          </xdr:nvSpPr>
          <xdr:spPr>
            <a:xfrm>
              <a:off x="435610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36C3F4-2B3F-4517-A678-68830B334B49}"/>
                </a:ext>
              </a:extLst>
            </xdr:cNvPr>
            <xdr:cNvSpPr txBox="1"/>
          </xdr:nvSpPr>
          <xdr:spPr>
            <a:xfrm>
              <a:off x="435610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11</xdr:col>
      <xdr:colOff>273050</xdr:colOff>
      <xdr:row>1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7BBAB15-82C0-490A-9E0B-146723FC73AD}"/>
                </a:ext>
              </a:extLst>
            </xdr:cNvPr>
            <xdr:cNvSpPr txBox="1"/>
          </xdr:nvSpPr>
          <xdr:spPr>
            <a:xfrm>
              <a:off x="518160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7BBAB15-82C0-490A-9E0B-146723FC73AD}"/>
                </a:ext>
              </a:extLst>
            </xdr:cNvPr>
            <xdr:cNvSpPr txBox="1"/>
          </xdr:nvSpPr>
          <xdr:spPr>
            <a:xfrm>
              <a:off x="518160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12</xdr:col>
      <xdr:colOff>209550</xdr:colOff>
      <xdr:row>1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92CB20D-FE6E-4BC9-AA10-C3CD64B7F056}"/>
                </a:ext>
              </a:extLst>
            </xdr:cNvPr>
            <xdr:cNvSpPr txBox="1"/>
          </xdr:nvSpPr>
          <xdr:spPr>
            <a:xfrm>
              <a:off x="577850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92CB20D-FE6E-4BC9-AA10-C3CD64B7F056}"/>
                </a:ext>
              </a:extLst>
            </xdr:cNvPr>
            <xdr:cNvSpPr txBox="1"/>
          </xdr:nvSpPr>
          <xdr:spPr>
            <a:xfrm>
              <a:off x="577850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13</xdr:col>
      <xdr:colOff>247650</xdr:colOff>
      <xdr:row>1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2741119-1C45-437E-BA9B-134B5665F1A4}"/>
                </a:ext>
              </a:extLst>
            </xdr:cNvPr>
            <xdr:cNvSpPr txBox="1"/>
          </xdr:nvSpPr>
          <xdr:spPr>
            <a:xfrm>
              <a:off x="647700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2741119-1C45-437E-BA9B-134B5665F1A4}"/>
                </a:ext>
              </a:extLst>
            </xdr:cNvPr>
            <xdr:cNvSpPr txBox="1"/>
          </xdr:nvSpPr>
          <xdr:spPr>
            <a:xfrm>
              <a:off x="647700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10</xdr:col>
      <xdr:colOff>25400</xdr:colOff>
      <xdr:row>0</xdr:row>
      <xdr:rowOff>44450</xdr:rowOff>
    </xdr:from>
    <xdr:ext cx="12939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2B58AC9-4223-425C-AE4A-54453159DEB3}"/>
                </a:ext>
              </a:extLst>
            </xdr:cNvPr>
            <xdr:cNvSpPr txBox="1"/>
          </xdr:nvSpPr>
          <xdr:spPr>
            <a:xfrm>
              <a:off x="6915150" y="44450"/>
              <a:ext cx="12939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𝜶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𝟗𝟓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𝜷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𝟎𝟓</m:t>
                    </m:r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2B58AC9-4223-425C-AE4A-54453159DEB3}"/>
                </a:ext>
              </a:extLst>
            </xdr:cNvPr>
            <xdr:cNvSpPr txBox="1"/>
          </xdr:nvSpPr>
          <xdr:spPr>
            <a:xfrm>
              <a:off x="6915150" y="44450"/>
              <a:ext cx="12939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𝜶</a:t>
              </a:r>
              <a:r>
                <a:rPr lang="en-US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=𝟎.𝟗𝟓   𝜷=𝟎.𝟎𝟓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14</xdr:col>
      <xdr:colOff>0</xdr:colOff>
      <xdr:row>1</xdr:row>
      <xdr:rowOff>31750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1E77677-44C8-45DB-B528-09A06FA0F693}"/>
            </a:ext>
          </a:extLst>
        </xdr:cNvPr>
        <xdr:cNvSpPr txBox="1"/>
      </xdr:nvSpPr>
      <xdr:spPr>
        <a:xfrm>
          <a:off x="6889750" y="279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 b="1" kern="1200"/>
        </a:p>
      </xdr:txBody>
    </xdr:sp>
    <xdr:clientData/>
  </xdr:oneCellAnchor>
  <xdr:oneCellAnchor>
    <xdr:from>
      <xdr:col>14</xdr:col>
      <xdr:colOff>266700</xdr:colOff>
      <xdr:row>1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4E9A563-2B89-4152-896F-48B13D4417B6}"/>
                </a:ext>
              </a:extLst>
            </xdr:cNvPr>
            <xdr:cNvSpPr txBox="1"/>
          </xdr:nvSpPr>
          <xdr:spPr>
            <a:xfrm>
              <a:off x="715645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4E9A563-2B89-4152-896F-48B13D4417B6}"/>
                </a:ext>
              </a:extLst>
            </xdr:cNvPr>
            <xdr:cNvSpPr txBox="1"/>
          </xdr:nvSpPr>
          <xdr:spPr>
            <a:xfrm>
              <a:off x="715645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15</xdr:col>
      <xdr:colOff>273050</xdr:colOff>
      <xdr:row>1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50A4F2B-C636-4B27-BC10-76BAAE905FEA}"/>
                </a:ext>
              </a:extLst>
            </xdr:cNvPr>
            <xdr:cNvSpPr txBox="1"/>
          </xdr:nvSpPr>
          <xdr:spPr>
            <a:xfrm>
              <a:off x="79819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50A4F2B-C636-4B27-BC10-76BAAE905FEA}"/>
                </a:ext>
              </a:extLst>
            </xdr:cNvPr>
            <xdr:cNvSpPr txBox="1"/>
          </xdr:nvSpPr>
          <xdr:spPr>
            <a:xfrm>
              <a:off x="79819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16</xdr:col>
      <xdr:colOff>209550</xdr:colOff>
      <xdr:row>1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BBBF89A-2B0E-4A64-B6BF-9B7E7ECEB31D}"/>
                </a:ext>
              </a:extLst>
            </xdr:cNvPr>
            <xdr:cNvSpPr txBox="1"/>
          </xdr:nvSpPr>
          <xdr:spPr>
            <a:xfrm>
              <a:off x="85788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BBBF89A-2B0E-4A64-B6BF-9B7E7ECEB31D}"/>
                </a:ext>
              </a:extLst>
            </xdr:cNvPr>
            <xdr:cNvSpPr txBox="1"/>
          </xdr:nvSpPr>
          <xdr:spPr>
            <a:xfrm>
              <a:off x="85788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17</xdr:col>
      <xdr:colOff>247650</xdr:colOff>
      <xdr:row>1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8A25694-304F-421C-8E76-E9CA6D079D2C}"/>
                </a:ext>
              </a:extLst>
            </xdr:cNvPr>
            <xdr:cNvSpPr txBox="1"/>
          </xdr:nvSpPr>
          <xdr:spPr>
            <a:xfrm>
              <a:off x="927735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8A25694-304F-421C-8E76-E9CA6D079D2C}"/>
                </a:ext>
              </a:extLst>
            </xdr:cNvPr>
            <xdr:cNvSpPr txBox="1"/>
          </xdr:nvSpPr>
          <xdr:spPr>
            <a:xfrm>
              <a:off x="927735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18</xdr:col>
      <xdr:colOff>0</xdr:colOff>
      <xdr:row>1</xdr:row>
      <xdr:rowOff>31750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0830D9-05FE-482C-9554-24D8DC5AA08F}"/>
            </a:ext>
          </a:extLst>
        </xdr:cNvPr>
        <xdr:cNvSpPr txBox="1"/>
      </xdr:nvSpPr>
      <xdr:spPr>
        <a:xfrm>
          <a:off x="9690100" y="279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 b="1" kern="1200"/>
        </a:p>
      </xdr:txBody>
    </xdr:sp>
    <xdr:clientData/>
  </xdr:oneCellAnchor>
  <xdr:oneCellAnchor>
    <xdr:from>
      <xdr:col>18</xdr:col>
      <xdr:colOff>266700</xdr:colOff>
      <xdr:row>1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3848545-0C44-45A8-9FAA-DBCCA4142E89}"/>
                </a:ext>
              </a:extLst>
            </xdr:cNvPr>
            <xdr:cNvSpPr txBox="1"/>
          </xdr:nvSpPr>
          <xdr:spPr>
            <a:xfrm>
              <a:off x="995680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3848545-0C44-45A8-9FAA-DBCCA4142E89}"/>
                </a:ext>
              </a:extLst>
            </xdr:cNvPr>
            <xdr:cNvSpPr txBox="1"/>
          </xdr:nvSpPr>
          <xdr:spPr>
            <a:xfrm>
              <a:off x="995680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19</xdr:col>
      <xdr:colOff>273050</xdr:colOff>
      <xdr:row>1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39E6983-A543-4643-90BF-F9C393429B38}"/>
                </a:ext>
              </a:extLst>
            </xdr:cNvPr>
            <xdr:cNvSpPr txBox="1"/>
          </xdr:nvSpPr>
          <xdr:spPr>
            <a:xfrm>
              <a:off x="106235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39E6983-A543-4643-90BF-F9C393429B38}"/>
                </a:ext>
              </a:extLst>
            </xdr:cNvPr>
            <xdr:cNvSpPr txBox="1"/>
          </xdr:nvSpPr>
          <xdr:spPr>
            <a:xfrm>
              <a:off x="106235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20</xdr:col>
      <xdr:colOff>209550</xdr:colOff>
      <xdr:row>1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E9BA51E-5789-43A6-9DAA-4F3CE17050BF}"/>
                </a:ext>
              </a:extLst>
            </xdr:cNvPr>
            <xdr:cNvSpPr txBox="1"/>
          </xdr:nvSpPr>
          <xdr:spPr>
            <a:xfrm>
              <a:off x="112204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E9BA51E-5789-43A6-9DAA-4F3CE17050BF}"/>
                </a:ext>
              </a:extLst>
            </xdr:cNvPr>
            <xdr:cNvSpPr txBox="1"/>
          </xdr:nvSpPr>
          <xdr:spPr>
            <a:xfrm>
              <a:off x="112204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21</xdr:col>
      <xdr:colOff>247650</xdr:colOff>
      <xdr:row>1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EB992D0-0F92-43A0-A92A-4998E87B95EE}"/>
                </a:ext>
              </a:extLst>
            </xdr:cNvPr>
            <xdr:cNvSpPr txBox="1"/>
          </xdr:nvSpPr>
          <xdr:spPr>
            <a:xfrm>
              <a:off x="1191895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EB992D0-0F92-43A0-A92A-4998E87B95EE}"/>
                </a:ext>
              </a:extLst>
            </xdr:cNvPr>
            <xdr:cNvSpPr txBox="1"/>
          </xdr:nvSpPr>
          <xdr:spPr>
            <a:xfrm>
              <a:off x="1191895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22</xdr:col>
      <xdr:colOff>0</xdr:colOff>
      <xdr:row>1</xdr:row>
      <xdr:rowOff>31750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6073464-0A05-465B-A7F0-47850FA4CF95}"/>
            </a:ext>
          </a:extLst>
        </xdr:cNvPr>
        <xdr:cNvSpPr txBox="1"/>
      </xdr:nvSpPr>
      <xdr:spPr>
        <a:xfrm>
          <a:off x="12331700" y="279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 b="1" kern="1200"/>
        </a:p>
      </xdr:txBody>
    </xdr:sp>
    <xdr:clientData/>
  </xdr:oneCellAnchor>
  <xdr:oneCellAnchor>
    <xdr:from>
      <xdr:col>22</xdr:col>
      <xdr:colOff>266700</xdr:colOff>
      <xdr:row>1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08B65D6-6A31-4E92-AB5B-E47B16210C19}"/>
                </a:ext>
              </a:extLst>
            </xdr:cNvPr>
            <xdr:cNvSpPr txBox="1"/>
          </xdr:nvSpPr>
          <xdr:spPr>
            <a:xfrm>
              <a:off x="1259840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08B65D6-6A31-4E92-AB5B-E47B16210C19}"/>
                </a:ext>
              </a:extLst>
            </xdr:cNvPr>
            <xdr:cNvSpPr txBox="1"/>
          </xdr:nvSpPr>
          <xdr:spPr>
            <a:xfrm>
              <a:off x="1259840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23</xdr:col>
      <xdr:colOff>273050</xdr:colOff>
      <xdr:row>1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0AAC9E0-0CF2-4718-9FA2-82CF494EA596}"/>
                </a:ext>
              </a:extLst>
            </xdr:cNvPr>
            <xdr:cNvSpPr txBox="1"/>
          </xdr:nvSpPr>
          <xdr:spPr>
            <a:xfrm>
              <a:off x="1342390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0AAC9E0-0CF2-4718-9FA2-82CF494EA596}"/>
                </a:ext>
              </a:extLst>
            </xdr:cNvPr>
            <xdr:cNvSpPr txBox="1"/>
          </xdr:nvSpPr>
          <xdr:spPr>
            <a:xfrm>
              <a:off x="1342390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24</xdr:col>
      <xdr:colOff>209550</xdr:colOff>
      <xdr:row>1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3D65CAF-85E9-416C-B27A-EC4E584AB9D3}"/>
                </a:ext>
              </a:extLst>
            </xdr:cNvPr>
            <xdr:cNvSpPr txBox="1"/>
          </xdr:nvSpPr>
          <xdr:spPr>
            <a:xfrm>
              <a:off x="1402080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3D65CAF-85E9-416C-B27A-EC4E584AB9D3}"/>
                </a:ext>
              </a:extLst>
            </xdr:cNvPr>
            <xdr:cNvSpPr txBox="1"/>
          </xdr:nvSpPr>
          <xdr:spPr>
            <a:xfrm>
              <a:off x="1402080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25</xdr:col>
      <xdr:colOff>247650</xdr:colOff>
      <xdr:row>1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20822A1C-1622-4CF0-B154-3391EEDA329E}"/>
                </a:ext>
              </a:extLst>
            </xdr:cNvPr>
            <xdr:cNvSpPr txBox="1"/>
          </xdr:nvSpPr>
          <xdr:spPr>
            <a:xfrm>
              <a:off x="1495425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20822A1C-1622-4CF0-B154-3391EEDA329E}"/>
                </a:ext>
              </a:extLst>
            </xdr:cNvPr>
            <xdr:cNvSpPr txBox="1"/>
          </xdr:nvSpPr>
          <xdr:spPr>
            <a:xfrm>
              <a:off x="1495425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4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C75C15-111C-44D3-A602-14F2E47850E4}"/>
            </a:ext>
          </a:extLst>
        </xdr:cNvPr>
        <xdr:cNvSpPr txBox="1"/>
      </xdr:nvSpPr>
      <xdr:spPr>
        <a:xfrm>
          <a:off x="679450" y="90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</xdr:col>
      <xdr:colOff>323850</xdr:colOff>
      <xdr:row>0</xdr:row>
      <xdr:rowOff>146050</xdr:rowOff>
    </xdr:from>
    <xdr:ext cx="1704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3466469-6F01-4F8A-BF1D-28D949204942}"/>
                </a:ext>
              </a:extLst>
            </xdr:cNvPr>
            <xdr:cNvSpPr txBox="1"/>
          </xdr:nvSpPr>
          <xdr:spPr>
            <a:xfrm>
              <a:off x="717550" y="146050"/>
              <a:ext cx="1704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3466469-6F01-4F8A-BF1D-28D949204942}"/>
                </a:ext>
              </a:extLst>
            </xdr:cNvPr>
            <xdr:cNvSpPr txBox="1"/>
          </xdr:nvSpPr>
          <xdr:spPr>
            <a:xfrm>
              <a:off x="717550" y="146050"/>
              <a:ext cx="1704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</xdr:col>
      <xdr:colOff>266700</xdr:colOff>
      <xdr:row>1</xdr:row>
      <xdr:rowOff>31750</xdr:rowOff>
    </xdr:from>
    <xdr:ext cx="1656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75C141-56FE-49E8-909C-CEC0C93F2289}"/>
                </a:ext>
              </a:extLst>
            </xdr:cNvPr>
            <xdr:cNvSpPr txBox="1"/>
          </xdr:nvSpPr>
          <xdr:spPr>
            <a:xfrm>
              <a:off x="147955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𝑳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75C141-56FE-49E8-909C-CEC0C93F2289}"/>
                </a:ext>
              </a:extLst>
            </xdr:cNvPr>
            <xdr:cNvSpPr txBox="1"/>
          </xdr:nvSpPr>
          <xdr:spPr>
            <a:xfrm>
              <a:off x="1479550" y="279400"/>
              <a:ext cx="165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𝑳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kern="1200"/>
            </a:p>
          </xdr:txBody>
        </xdr:sp>
      </mc:Fallback>
    </mc:AlternateContent>
    <xdr:clientData/>
  </xdr:oneCellAnchor>
  <xdr:oneCellAnchor>
    <xdr:from>
      <xdr:col>3</xdr:col>
      <xdr:colOff>273050</xdr:colOff>
      <xdr:row>1</xdr:row>
      <xdr:rowOff>25400</xdr:rowOff>
    </xdr:from>
    <xdr:ext cx="1688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D61CD7-3270-46AB-9F93-3C52DC7560FA}"/>
                </a:ext>
              </a:extLst>
            </xdr:cNvPr>
            <xdr:cNvSpPr txBox="1"/>
          </xdr:nvSpPr>
          <xdr:spPr>
            <a:xfrm>
              <a:off x="23812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𝑻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D61CD7-3270-46AB-9F93-3C52DC7560FA}"/>
                </a:ext>
              </a:extLst>
            </xdr:cNvPr>
            <xdr:cNvSpPr txBox="1"/>
          </xdr:nvSpPr>
          <xdr:spPr>
            <a:xfrm>
              <a:off x="2381250" y="273050"/>
              <a:ext cx="1688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𝑻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4</xdr:col>
      <xdr:colOff>209550</xdr:colOff>
      <xdr:row>1</xdr:row>
      <xdr:rowOff>19050</xdr:rowOff>
    </xdr:from>
    <xdr:ext cx="309252" cy="1929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83CB6EC-F700-43D4-BD5B-5A9CF7374A45}"/>
                </a:ext>
              </a:extLst>
            </xdr:cNvPr>
            <xdr:cNvSpPr txBox="1"/>
          </xdr:nvSpPr>
          <xdr:spPr>
            <a:xfrm>
              <a:off x="29781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d-ID" sz="1100" b="1" i="1" kern="120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 kern="1200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83CB6EC-F700-43D4-BD5B-5A9CF7374A45}"/>
                </a:ext>
              </a:extLst>
            </xdr:cNvPr>
            <xdr:cNvSpPr txBox="1"/>
          </xdr:nvSpPr>
          <xdr:spPr>
            <a:xfrm>
              <a:off x="2978150" y="266700"/>
              <a:ext cx="309252" cy="192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𝒀</a:t>
              </a:r>
              <a:r>
                <a:rPr lang="id-ID" sz="1100" b="1" i="0" kern="1200">
                  <a:latin typeface="Cambria Math" panose="02040503050406030204" pitchFamily="18" charset="0"/>
                </a:rPr>
                <a:t> ̂_(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𝒕+𝒑</a:t>
              </a:r>
              <a:r>
                <a:rPr lang="id-ID" sz="1100" b="1" i="0" kern="1200">
                  <a:latin typeface="Cambria Math" panose="02040503050406030204" pitchFamily="18" charset="0"/>
                </a:rPr>
                <a:t>)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5</xdr:col>
      <xdr:colOff>247650</xdr:colOff>
      <xdr:row>1</xdr:row>
      <xdr:rowOff>6350</xdr:rowOff>
    </xdr:from>
    <xdr:ext cx="1583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339BF47-B6B5-49C6-8D92-CD76FBE18B7E}"/>
                </a:ext>
              </a:extLst>
            </xdr:cNvPr>
            <xdr:cNvSpPr txBox="1"/>
          </xdr:nvSpPr>
          <xdr:spPr>
            <a:xfrm>
              <a:off x="383540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b="1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b>
                        <m:r>
                          <a:rPr lang="en-US" sz="1100" b="1" i="1" kern="1200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339BF47-B6B5-49C6-8D92-CD76FBE18B7E}"/>
                </a:ext>
              </a:extLst>
            </xdr:cNvPr>
            <xdr:cNvSpPr txBox="1"/>
          </xdr:nvSpPr>
          <xdr:spPr>
            <a:xfrm>
              <a:off x="3835400" y="254000"/>
              <a:ext cx="1583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 kern="1200">
                  <a:latin typeface="Cambria Math" panose="02040503050406030204" pitchFamily="18" charset="0"/>
                </a:rPr>
                <a:t>𝒆</a:t>
              </a:r>
              <a:r>
                <a:rPr lang="id-ID" sz="1100" b="1" i="0" kern="1200">
                  <a:latin typeface="Cambria Math" panose="02040503050406030204" pitchFamily="18" charset="0"/>
                </a:rPr>
                <a:t>_</a:t>
              </a:r>
              <a:r>
                <a:rPr lang="en-US" sz="1100" b="1" i="0" kern="1200">
                  <a:latin typeface="Cambria Math" panose="02040503050406030204" pitchFamily="18" charset="0"/>
                </a:rPr>
                <a:t>𝒕</a:t>
              </a:r>
              <a:endParaRPr lang="id-ID" sz="1100" b="1" kern="1200"/>
            </a:p>
          </xdr:txBody>
        </xdr:sp>
      </mc:Fallback>
    </mc:AlternateContent>
    <xdr:clientData/>
  </xdr:oneCellAnchor>
  <xdr:oneCellAnchor>
    <xdr:from>
      <xdr:col>2</xdr:col>
      <xdr:colOff>266700</xdr:colOff>
      <xdr:row>0</xdr:row>
      <xdr:rowOff>38100</xdr:rowOff>
    </xdr:from>
    <xdr:ext cx="11251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BF97D50-5237-4909-9DA8-A8785E6EDB2F}"/>
                </a:ext>
              </a:extLst>
            </xdr:cNvPr>
            <xdr:cNvSpPr txBox="1"/>
          </xdr:nvSpPr>
          <xdr:spPr>
            <a:xfrm>
              <a:off x="1479550" y="38100"/>
              <a:ext cx="11251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𝜶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𝜷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𝟕</m:t>
                    </m:r>
                  </m:oMath>
                </m:oMathPara>
              </a14:m>
              <a:endParaRPr lang="id-ID" sz="1100" b="1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BF97D50-5237-4909-9DA8-A8785E6EDB2F}"/>
                </a:ext>
              </a:extLst>
            </xdr:cNvPr>
            <xdr:cNvSpPr txBox="1"/>
          </xdr:nvSpPr>
          <xdr:spPr>
            <a:xfrm>
              <a:off x="1479550" y="38100"/>
              <a:ext cx="11251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𝜶</a:t>
              </a:r>
              <a:r>
                <a:rPr lang="en-US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=𝟎.𝟑   𝜷=𝟎.𝟕</a:t>
              </a:r>
              <a:endParaRPr lang="id-ID" sz="1100" b="1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ED38-E293-4D62-94AD-B27895227A15}">
  <dimension ref="A1:B115"/>
  <sheetViews>
    <sheetView tabSelected="1" workbookViewId="0">
      <selection activeCell="D7" sqref="D7"/>
    </sheetView>
  </sheetViews>
  <sheetFormatPr defaultRowHeight="15.6" x14ac:dyDescent="0.3"/>
  <cols>
    <col min="1" max="1" width="10" bestFit="1" customWidth="1"/>
    <col min="3" max="3" width="4.09765625" customWidth="1"/>
  </cols>
  <sheetData>
    <row r="1" spans="1:2" x14ac:dyDescent="0.3">
      <c r="A1" s="1" t="s">
        <v>0</v>
      </c>
      <c r="B1" s="1">
        <v>4174825.91</v>
      </c>
    </row>
    <row r="2" spans="1:2" x14ac:dyDescent="0.3">
      <c r="A2" s="1" t="s">
        <v>1</v>
      </c>
      <c r="B2" s="1">
        <v>4218122.76</v>
      </c>
    </row>
    <row r="3" spans="1:2" x14ac:dyDescent="0.3">
      <c r="A3" s="1" t="s">
        <v>2</v>
      </c>
      <c r="B3" s="1">
        <v>4246361.1900000004</v>
      </c>
    </row>
    <row r="4" spans="1:2" x14ac:dyDescent="0.3">
      <c r="A4" s="1" t="s">
        <v>3</v>
      </c>
      <c r="B4" s="1">
        <v>4275711.1100000003</v>
      </c>
    </row>
    <row r="5" spans="1:2" x14ac:dyDescent="0.3">
      <c r="A5" s="1" t="s">
        <v>4</v>
      </c>
      <c r="B5" s="1">
        <v>4288369.26</v>
      </c>
    </row>
    <row r="6" spans="1:2" x14ac:dyDescent="0.3">
      <c r="A6" s="1" t="s">
        <v>5</v>
      </c>
      <c r="B6" s="1">
        <v>4358801.51</v>
      </c>
    </row>
    <row r="7" spans="1:2" x14ac:dyDescent="0.3">
      <c r="A7" s="1" t="s">
        <v>6</v>
      </c>
      <c r="B7" s="1">
        <v>4373208.0999999996</v>
      </c>
    </row>
    <row r="8" spans="1:2" x14ac:dyDescent="0.3">
      <c r="A8" s="1" t="s">
        <v>7</v>
      </c>
      <c r="B8" s="1">
        <v>4404085.03</v>
      </c>
    </row>
    <row r="9" spans="1:2" x14ac:dyDescent="0.3">
      <c r="A9" s="1" t="s">
        <v>8</v>
      </c>
      <c r="B9" s="1">
        <v>4508603.17</v>
      </c>
    </row>
    <row r="10" spans="1:2" x14ac:dyDescent="0.3">
      <c r="A10" s="1" t="s">
        <v>9</v>
      </c>
      <c r="B10" s="1">
        <v>4443078.08</v>
      </c>
    </row>
    <row r="11" spans="1:2" x14ac:dyDescent="0.3">
      <c r="A11" s="1" t="s">
        <v>10</v>
      </c>
      <c r="B11" s="1">
        <v>4452324.6500000004</v>
      </c>
    </row>
    <row r="12" spans="1:2" x14ac:dyDescent="0.3">
      <c r="A12" s="1" t="s">
        <v>11</v>
      </c>
      <c r="B12" s="1">
        <v>4548800.2699999996</v>
      </c>
    </row>
    <row r="13" spans="1:2" x14ac:dyDescent="0.3">
      <c r="A13" s="1" t="s">
        <v>0</v>
      </c>
      <c r="B13" s="1">
        <v>4498361.28</v>
      </c>
    </row>
    <row r="14" spans="1:2" x14ac:dyDescent="0.3">
      <c r="A14" s="1" t="s">
        <v>1</v>
      </c>
      <c r="B14" s="1">
        <v>4521951.2</v>
      </c>
    </row>
    <row r="15" spans="1:2" x14ac:dyDescent="0.3">
      <c r="A15" s="1" t="s">
        <v>2</v>
      </c>
      <c r="B15" s="1">
        <v>4561872.5199999996</v>
      </c>
    </row>
    <row r="16" spans="1:2" x14ac:dyDescent="0.3">
      <c r="A16" s="1" t="s">
        <v>3</v>
      </c>
      <c r="B16" s="1">
        <v>4581877.87</v>
      </c>
    </row>
    <row r="17" spans="1:2" x14ac:dyDescent="0.3">
      <c r="A17" s="1" t="s">
        <v>4</v>
      </c>
      <c r="B17" s="1">
        <v>4614061.82</v>
      </c>
    </row>
    <row r="18" spans="1:2" x14ac:dyDescent="0.3">
      <c r="A18" s="1" t="s">
        <v>5</v>
      </c>
      <c r="B18" s="1">
        <v>4737451.2300000004</v>
      </c>
    </row>
    <row r="19" spans="1:2" x14ac:dyDescent="0.3">
      <c r="A19" s="1" t="s">
        <v>6</v>
      </c>
      <c r="B19" s="1">
        <v>4730379.68</v>
      </c>
    </row>
    <row r="20" spans="1:2" x14ac:dyDescent="0.3">
      <c r="A20" s="1" t="s">
        <v>7</v>
      </c>
      <c r="B20" s="1">
        <v>4746026.68</v>
      </c>
    </row>
    <row r="21" spans="1:2" x14ac:dyDescent="0.3">
      <c r="A21" s="1" t="s">
        <v>8</v>
      </c>
      <c r="B21" s="1">
        <v>4737630.76</v>
      </c>
    </row>
    <row r="22" spans="1:2" x14ac:dyDescent="0.3">
      <c r="A22" s="1" t="s">
        <v>9</v>
      </c>
      <c r="B22" s="1">
        <v>4778478.8899999997</v>
      </c>
    </row>
    <row r="23" spans="1:2" x14ac:dyDescent="0.3">
      <c r="A23" s="1" t="s">
        <v>10</v>
      </c>
      <c r="B23" s="1">
        <v>4868651.16</v>
      </c>
    </row>
    <row r="24" spans="1:2" x14ac:dyDescent="0.3">
      <c r="A24" s="1" t="s">
        <v>11</v>
      </c>
      <c r="B24" s="1">
        <v>5004976.79</v>
      </c>
    </row>
    <row r="25" spans="1:2" x14ac:dyDescent="0.3">
      <c r="A25" s="1" t="s">
        <v>0</v>
      </c>
      <c r="B25" s="1">
        <v>4936881.99</v>
      </c>
    </row>
    <row r="26" spans="1:2" x14ac:dyDescent="0.3">
      <c r="A26" s="1" t="s">
        <v>1</v>
      </c>
      <c r="B26" s="1">
        <v>4942919.76</v>
      </c>
    </row>
    <row r="27" spans="1:2" x14ac:dyDescent="0.3">
      <c r="A27" s="1" t="s">
        <v>2</v>
      </c>
      <c r="B27" s="1">
        <v>5017643.55</v>
      </c>
    </row>
    <row r="28" spans="1:2" x14ac:dyDescent="0.3">
      <c r="A28" s="1" t="s">
        <v>3</v>
      </c>
      <c r="B28" s="1">
        <v>5033780.29</v>
      </c>
    </row>
    <row r="29" spans="1:2" x14ac:dyDescent="0.3">
      <c r="A29" s="1" t="s">
        <v>4</v>
      </c>
      <c r="B29" s="1">
        <v>5125383.79</v>
      </c>
    </row>
    <row r="30" spans="1:2" x14ac:dyDescent="0.3">
      <c r="A30" s="1" t="s">
        <v>5</v>
      </c>
      <c r="B30" s="1">
        <v>5225165.76</v>
      </c>
    </row>
    <row r="31" spans="1:2" x14ac:dyDescent="0.3">
      <c r="A31" s="1" t="s">
        <v>6</v>
      </c>
      <c r="B31" s="1">
        <v>5178078.75</v>
      </c>
    </row>
    <row r="32" spans="1:2" x14ac:dyDescent="0.3">
      <c r="A32" s="1" t="s">
        <v>7</v>
      </c>
      <c r="B32" s="1">
        <v>5219647.63</v>
      </c>
    </row>
    <row r="33" spans="1:2" x14ac:dyDescent="0.3">
      <c r="A33" s="1" t="s">
        <v>8</v>
      </c>
      <c r="B33" s="1">
        <v>5254138.51</v>
      </c>
    </row>
    <row r="34" spans="1:2" x14ac:dyDescent="0.3">
      <c r="A34" s="1" t="s">
        <v>9</v>
      </c>
      <c r="B34" s="1">
        <v>5284320.16</v>
      </c>
    </row>
    <row r="35" spans="1:2" x14ac:dyDescent="0.3">
      <c r="A35" s="1" t="s">
        <v>10</v>
      </c>
      <c r="B35" s="1">
        <v>5321431.7699999996</v>
      </c>
    </row>
    <row r="36" spans="1:2" x14ac:dyDescent="0.3">
      <c r="A36" s="1" t="s">
        <v>11</v>
      </c>
      <c r="B36" s="1">
        <v>5419165.0499999998</v>
      </c>
    </row>
    <row r="37" spans="1:2" x14ac:dyDescent="0.3">
      <c r="A37" s="1" t="s">
        <v>0</v>
      </c>
      <c r="B37" s="1">
        <v>5351684.67</v>
      </c>
    </row>
    <row r="38" spans="1:2" x14ac:dyDescent="0.3">
      <c r="A38" s="1" t="s">
        <v>1</v>
      </c>
      <c r="B38" s="1">
        <v>5351650.33</v>
      </c>
    </row>
    <row r="39" spans="1:2" x14ac:dyDescent="0.3">
      <c r="A39" s="1" t="s">
        <v>2</v>
      </c>
      <c r="B39" s="1">
        <v>5395826.04</v>
      </c>
    </row>
    <row r="40" spans="1:2" x14ac:dyDescent="0.3">
      <c r="A40" s="1" t="s">
        <v>3</v>
      </c>
      <c r="B40" s="1">
        <v>5409088.8099999996</v>
      </c>
    </row>
    <row r="41" spans="1:2" x14ac:dyDescent="0.3">
      <c r="A41" s="1" t="s">
        <v>4</v>
      </c>
      <c r="B41" s="1">
        <v>5435082.9299999997</v>
      </c>
    </row>
    <row r="42" spans="1:2" x14ac:dyDescent="0.3">
      <c r="A42" s="1" t="s">
        <v>5</v>
      </c>
      <c r="B42" s="1">
        <v>5534149.8300000001</v>
      </c>
    </row>
    <row r="43" spans="1:2" x14ac:dyDescent="0.3">
      <c r="A43" s="1" t="s">
        <v>6</v>
      </c>
      <c r="B43" s="1">
        <v>5507791.75</v>
      </c>
    </row>
    <row r="44" spans="1:2" x14ac:dyDescent="0.3">
      <c r="A44" s="1" t="s">
        <v>7</v>
      </c>
      <c r="B44" s="1">
        <v>5529451.8099999996</v>
      </c>
    </row>
    <row r="45" spans="1:2" x14ac:dyDescent="0.3">
      <c r="A45" s="1" t="s">
        <v>8</v>
      </c>
      <c r="B45" s="1">
        <v>5606779.8899999997</v>
      </c>
    </row>
    <row r="46" spans="1:2" x14ac:dyDescent="0.3">
      <c r="A46" s="1" t="s">
        <v>9</v>
      </c>
      <c r="B46" s="1">
        <v>5667512.0999999996</v>
      </c>
    </row>
    <row r="47" spans="1:2" x14ac:dyDescent="0.3">
      <c r="A47" s="1" t="s">
        <v>10</v>
      </c>
      <c r="B47" s="1">
        <v>5670975.2400000002</v>
      </c>
    </row>
    <row r="48" spans="1:2" x14ac:dyDescent="0.3">
      <c r="A48" s="1" t="s">
        <v>11</v>
      </c>
      <c r="B48" s="1">
        <v>5760046.2000000002</v>
      </c>
    </row>
    <row r="49" spans="1:2" x14ac:dyDescent="0.3">
      <c r="A49" s="1" t="s">
        <v>0</v>
      </c>
      <c r="B49" s="1">
        <v>5644985</v>
      </c>
    </row>
    <row r="50" spans="1:2" x14ac:dyDescent="0.3">
      <c r="A50" s="1" t="s">
        <v>1</v>
      </c>
      <c r="B50" s="1">
        <v>5670778</v>
      </c>
    </row>
    <row r="51" spans="1:2" x14ac:dyDescent="0.3">
      <c r="A51" s="1" t="s">
        <v>2</v>
      </c>
      <c r="B51" s="1">
        <v>5747247</v>
      </c>
    </row>
    <row r="52" spans="1:2" x14ac:dyDescent="0.3">
      <c r="A52" s="1" t="s">
        <v>3</v>
      </c>
      <c r="B52" s="1">
        <v>5746732</v>
      </c>
    </row>
    <row r="53" spans="1:2" x14ac:dyDescent="0.3">
      <c r="A53" s="1" t="s">
        <v>4</v>
      </c>
      <c r="B53" s="1">
        <v>5860509</v>
      </c>
    </row>
    <row r="54" spans="1:2" x14ac:dyDescent="0.3">
      <c r="A54" s="1" t="s">
        <v>5</v>
      </c>
      <c r="B54" s="1">
        <v>5908509</v>
      </c>
    </row>
    <row r="55" spans="1:2" x14ac:dyDescent="0.3">
      <c r="A55" s="1" t="s">
        <v>6</v>
      </c>
      <c r="B55" s="1">
        <v>5941133</v>
      </c>
    </row>
    <row r="56" spans="1:2" x14ac:dyDescent="0.3">
      <c r="A56" s="1" t="s">
        <v>7</v>
      </c>
      <c r="B56" s="1">
        <v>5934562</v>
      </c>
    </row>
    <row r="57" spans="1:2" x14ac:dyDescent="0.3">
      <c r="A57" s="1" t="s">
        <v>8</v>
      </c>
      <c r="B57" s="1">
        <v>6134178</v>
      </c>
    </row>
    <row r="58" spans="1:2" x14ac:dyDescent="0.3">
      <c r="A58" s="1" t="s">
        <v>9</v>
      </c>
      <c r="B58" s="1">
        <v>6026908</v>
      </c>
    </row>
    <row r="59" spans="1:2" x14ac:dyDescent="0.3">
      <c r="A59" s="1" t="s">
        <v>10</v>
      </c>
      <c r="B59" s="1">
        <v>6074377</v>
      </c>
    </row>
    <row r="60" spans="1:2" x14ac:dyDescent="0.3">
      <c r="A60" s="1" t="s">
        <v>11</v>
      </c>
      <c r="B60" s="1">
        <v>6136552</v>
      </c>
    </row>
    <row r="61" spans="1:2" x14ac:dyDescent="0.3">
      <c r="A61" s="1" t="s">
        <v>0</v>
      </c>
      <c r="B61" s="1">
        <v>6046651</v>
      </c>
    </row>
    <row r="62" spans="1:2" x14ac:dyDescent="0.3">
      <c r="A62" s="1" t="s">
        <v>1</v>
      </c>
      <c r="B62" s="1">
        <v>6116495</v>
      </c>
    </row>
    <row r="63" spans="1:2" x14ac:dyDescent="0.3">
      <c r="A63" s="1" t="s">
        <v>2</v>
      </c>
      <c r="B63" s="1">
        <v>6440457.3899999997</v>
      </c>
    </row>
    <row r="64" spans="1:2" x14ac:dyDescent="0.3">
      <c r="A64" s="1" t="s">
        <v>3</v>
      </c>
      <c r="B64" s="1">
        <v>6238267</v>
      </c>
    </row>
    <row r="65" spans="1:2" x14ac:dyDescent="0.3">
      <c r="A65" s="1" t="s">
        <v>4</v>
      </c>
      <c r="B65" s="1">
        <v>6468193.5</v>
      </c>
    </row>
    <row r="66" spans="1:2" x14ac:dyDescent="0.3">
      <c r="A66" s="1" t="s">
        <v>5</v>
      </c>
      <c r="B66" s="1">
        <v>6393743.7999999998</v>
      </c>
    </row>
    <row r="67" spans="1:2" x14ac:dyDescent="0.3">
      <c r="A67" s="1" t="s">
        <v>6</v>
      </c>
      <c r="B67" s="1">
        <v>6567725.0199999996</v>
      </c>
    </row>
    <row r="68" spans="1:2" x14ac:dyDescent="0.3">
      <c r="A68" s="1" t="s">
        <v>7</v>
      </c>
      <c r="B68" s="1">
        <v>6726135.25</v>
      </c>
    </row>
    <row r="69" spans="1:2" x14ac:dyDescent="0.3">
      <c r="A69" s="1" t="s">
        <v>8</v>
      </c>
      <c r="B69" s="1">
        <v>6748574.0300000003</v>
      </c>
    </row>
    <row r="70" spans="1:2" x14ac:dyDescent="0.3">
      <c r="A70" s="1" t="s">
        <v>9</v>
      </c>
      <c r="B70" s="1">
        <v>6780844.54</v>
      </c>
    </row>
    <row r="71" spans="1:2" x14ac:dyDescent="0.3">
      <c r="A71" s="1" t="s">
        <v>10</v>
      </c>
      <c r="B71" s="1">
        <v>6817456.6799999997</v>
      </c>
    </row>
    <row r="72" spans="1:2" x14ac:dyDescent="0.3">
      <c r="A72" s="1" t="s">
        <v>11</v>
      </c>
      <c r="B72" s="1">
        <v>6900049.4900000002</v>
      </c>
    </row>
    <row r="73" spans="1:2" x14ac:dyDescent="0.3">
      <c r="A73" s="1" t="s">
        <v>0</v>
      </c>
      <c r="B73" s="1">
        <v>6767407.6500000004</v>
      </c>
    </row>
    <row r="74" spans="1:2" x14ac:dyDescent="0.3">
      <c r="A74" s="1" t="s">
        <v>1</v>
      </c>
      <c r="B74" s="1">
        <v>6817787.9100000001</v>
      </c>
    </row>
    <row r="75" spans="1:2" x14ac:dyDescent="0.3">
      <c r="A75" s="1" t="s">
        <v>2</v>
      </c>
      <c r="B75" s="1">
        <v>6895564.1200000001</v>
      </c>
    </row>
    <row r="76" spans="1:2" x14ac:dyDescent="0.3">
      <c r="A76" s="1" t="s">
        <v>3</v>
      </c>
      <c r="B76" s="1">
        <v>6964386.4900000002</v>
      </c>
    </row>
    <row r="77" spans="1:2" x14ac:dyDescent="0.3">
      <c r="A77" s="1" t="s">
        <v>4</v>
      </c>
      <c r="B77" s="1">
        <v>7004093.0800000001</v>
      </c>
    </row>
    <row r="78" spans="1:2" x14ac:dyDescent="0.3">
      <c r="A78" s="1" t="s">
        <v>5</v>
      </c>
      <c r="B78" s="1">
        <v>7130061.4199999999</v>
      </c>
    </row>
    <row r="79" spans="1:2" x14ac:dyDescent="0.3">
      <c r="A79" s="1" t="s">
        <v>6</v>
      </c>
      <c r="B79" s="1">
        <v>7160560.3300000001</v>
      </c>
    </row>
    <row r="80" spans="1:2" x14ac:dyDescent="0.3">
      <c r="A80" s="1" t="s">
        <v>7</v>
      </c>
      <c r="B80" s="1">
        <v>7211500.7199999997</v>
      </c>
    </row>
    <row r="81" spans="1:2" x14ac:dyDescent="0.3">
      <c r="A81" s="1" t="s">
        <v>8</v>
      </c>
      <c r="B81" s="1">
        <v>7300920.6399999997</v>
      </c>
    </row>
    <row r="82" spans="1:2" x14ac:dyDescent="0.3">
      <c r="A82" s="1" t="s">
        <v>9</v>
      </c>
      <c r="B82" s="1">
        <v>7491704.3799999999</v>
      </c>
    </row>
    <row r="83" spans="1:2" x14ac:dyDescent="0.3">
      <c r="A83" s="1" t="s">
        <v>10</v>
      </c>
      <c r="B83" s="1">
        <v>7573319.9000000004</v>
      </c>
    </row>
    <row r="84" spans="1:2" x14ac:dyDescent="0.3">
      <c r="A84" s="1" t="s">
        <v>11</v>
      </c>
      <c r="B84" s="1">
        <v>7870452.8499999996</v>
      </c>
    </row>
    <row r="85" spans="1:2" x14ac:dyDescent="0.3">
      <c r="A85" s="1" t="s">
        <v>0</v>
      </c>
      <c r="B85" s="1">
        <v>7646789.1900000004</v>
      </c>
    </row>
    <row r="86" spans="1:2" x14ac:dyDescent="0.3">
      <c r="A86" s="1" t="s">
        <v>1</v>
      </c>
      <c r="B86" s="1">
        <v>7690134.5</v>
      </c>
    </row>
    <row r="87" spans="1:2" x14ac:dyDescent="0.3">
      <c r="A87" s="1" t="s">
        <v>2</v>
      </c>
      <c r="B87" s="1">
        <v>7810949.3200000003</v>
      </c>
    </row>
    <row r="88" spans="1:2" x14ac:dyDescent="0.3">
      <c r="A88" s="1" t="s">
        <v>3</v>
      </c>
      <c r="B88" s="1">
        <v>7911484.4900000002</v>
      </c>
    </row>
    <row r="89" spans="1:2" x14ac:dyDescent="0.3">
      <c r="A89" s="1" t="s">
        <v>4</v>
      </c>
      <c r="B89" s="1">
        <v>7854186.71</v>
      </c>
    </row>
    <row r="90" spans="1:2" x14ac:dyDescent="0.3">
      <c r="A90" s="1" t="s">
        <v>5</v>
      </c>
      <c r="B90" s="1">
        <v>7890747.0099999998</v>
      </c>
    </row>
    <row r="91" spans="1:2" x14ac:dyDescent="0.3">
      <c r="A91" s="1" t="s">
        <v>6</v>
      </c>
      <c r="B91" s="1">
        <v>7845551.9100000001</v>
      </c>
    </row>
    <row r="92" spans="1:2" x14ac:dyDescent="0.3">
      <c r="A92" s="1" t="s">
        <v>7</v>
      </c>
      <c r="B92" s="1">
        <v>7897628.21</v>
      </c>
    </row>
    <row r="93" spans="1:2" x14ac:dyDescent="0.3">
      <c r="A93" s="1" t="s">
        <v>8</v>
      </c>
      <c r="B93" s="1">
        <v>7962693.3600000003</v>
      </c>
    </row>
    <row r="94" spans="1:2" x14ac:dyDescent="0.3">
      <c r="A94" s="1" t="s">
        <v>9</v>
      </c>
      <c r="B94" s="1">
        <v>8223055.0199999996</v>
      </c>
    </row>
    <row r="95" spans="1:2" x14ac:dyDescent="0.3">
      <c r="A95" s="1" t="s">
        <v>10</v>
      </c>
      <c r="B95" s="1">
        <v>8297349.5099999998</v>
      </c>
    </row>
    <row r="96" spans="1:2" x14ac:dyDescent="0.3">
      <c r="A96" s="1" t="s">
        <v>11</v>
      </c>
      <c r="B96" s="1">
        <v>8528022.3100000005</v>
      </c>
    </row>
    <row r="97" spans="1:2" x14ac:dyDescent="0.3">
      <c r="A97" s="1" t="s">
        <v>0</v>
      </c>
      <c r="B97" s="1">
        <v>8271838.0999999996</v>
      </c>
    </row>
    <row r="98" spans="1:2" x14ac:dyDescent="0.3">
      <c r="A98" s="1" t="s">
        <v>1</v>
      </c>
      <c r="B98" s="1">
        <v>8300648.3700000001</v>
      </c>
    </row>
    <row r="99" spans="1:2" x14ac:dyDescent="0.3">
      <c r="A99" s="1" t="s">
        <v>2</v>
      </c>
      <c r="B99" s="1">
        <v>8293283.2300000004</v>
      </c>
    </row>
    <row r="100" spans="1:2" x14ac:dyDescent="0.3">
      <c r="A100" s="1" t="s">
        <v>3</v>
      </c>
      <c r="B100" s="1">
        <v>8352349.6799999997</v>
      </c>
    </row>
    <row r="101" spans="1:2" x14ac:dyDescent="0.3">
      <c r="A101" s="1" t="s">
        <v>4</v>
      </c>
      <c r="B101" s="1">
        <v>8336170.79</v>
      </c>
    </row>
    <row r="102" spans="1:2" x14ac:dyDescent="0.3">
      <c r="A102" s="1" t="s">
        <v>5</v>
      </c>
      <c r="B102" s="1">
        <v>8372990.3200000003</v>
      </c>
    </row>
    <row r="103" spans="1:2" x14ac:dyDescent="0.3">
      <c r="A103" s="1" t="s">
        <v>6</v>
      </c>
      <c r="B103" s="1">
        <v>8349492.3200000003</v>
      </c>
    </row>
    <row r="104" spans="1:2" x14ac:dyDescent="0.3">
      <c r="A104" s="1" t="s">
        <v>7</v>
      </c>
      <c r="B104" s="1">
        <v>8364739</v>
      </c>
    </row>
    <row r="105" spans="1:2" x14ac:dyDescent="0.3">
      <c r="A105" s="1" t="s">
        <v>8</v>
      </c>
      <c r="B105" s="1">
        <v>8441236.4399999995</v>
      </c>
    </row>
    <row r="106" spans="1:2" x14ac:dyDescent="0.3">
      <c r="A106" s="1" t="s">
        <v>9</v>
      </c>
      <c r="B106" s="1">
        <v>8506544.0600000005</v>
      </c>
    </row>
    <row r="107" spans="1:2" x14ac:dyDescent="0.3">
      <c r="A107" s="1" t="s">
        <v>10</v>
      </c>
      <c r="B107" s="1">
        <v>8574917.0999999996</v>
      </c>
    </row>
    <row r="108" spans="1:2" x14ac:dyDescent="0.3">
      <c r="A108" s="1" t="s">
        <v>11</v>
      </c>
      <c r="B108" s="1">
        <v>8826531</v>
      </c>
    </row>
    <row r="109" spans="1:2" x14ac:dyDescent="0.3">
      <c r="A109" s="1" t="s">
        <v>0</v>
      </c>
      <c r="B109" s="1">
        <v>8721949.6899999995</v>
      </c>
    </row>
    <row r="110" spans="1:2" x14ac:dyDescent="0.3">
      <c r="A110" s="1" t="s">
        <v>1</v>
      </c>
      <c r="B110" s="1">
        <v>8739622.9299999997</v>
      </c>
    </row>
    <row r="111" spans="1:2" x14ac:dyDescent="0.3">
      <c r="A111" s="1" t="s">
        <v>2</v>
      </c>
      <c r="B111" s="1">
        <v>8888399.5299999993</v>
      </c>
    </row>
    <row r="112" spans="1:2" x14ac:dyDescent="0.3">
      <c r="A112" s="1" t="s">
        <v>3</v>
      </c>
      <c r="B112" s="1">
        <v>8927959.2899999991</v>
      </c>
    </row>
    <row r="113" spans="1:2" x14ac:dyDescent="0.3">
      <c r="A113" s="1" t="s">
        <v>4</v>
      </c>
      <c r="B113" s="1">
        <v>8965862.3100000005</v>
      </c>
    </row>
    <row r="114" spans="1:2" x14ac:dyDescent="0.3">
      <c r="A114" s="1" t="s">
        <v>5</v>
      </c>
      <c r="B114" s="1">
        <v>9026211.8200000003</v>
      </c>
    </row>
    <row r="115" spans="1:2" x14ac:dyDescent="0.3">
      <c r="A115" s="1" t="s">
        <v>6</v>
      </c>
      <c r="B115" s="1">
        <v>8970807.8300000001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9A1E-7485-485A-A5DB-2596586DC58C}">
  <dimension ref="A1:L118"/>
  <sheetViews>
    <sheetView workbookViewId="0">
      <selection activeCell="K17" sqref="K17"/>
    </sheetView>
  </sheetViews>
  <sheetFormatPr defaultRowHeight="15.6" x14ac:dyDescent="0.3"/>
  <cols>
    <col min="1" max="1" width="8.796875" style="2"/>
    <col min="2" max="2" width="10" style="38" bestFit="1" customWidth="1"/>
    <col min="3" max="3" width="8.796875" style="38"/>
    <col min="4" max="4" width="4.09765625" style="38" customWidth="1"/>
    <col min="5" max="5" width="8.796875" style="2"/>
    <col min="6" max="6" width="10" style="38" customWidth="1"/>
    <col min="7" max="7" width="11.796875" style="38" customWidth="1"/>
    <col min="8" max="8" width="3.19921875" style="38" customWidth="1"/>
    <col min="9" max="9" width="8.796875" style="2"/>
    <col min="10" max="10" width="9.796875" style="38" customWidth="1"/>
    <col min="11" max="11" width="12.19921875" style="38" customWidth="1"/>
    <col min="12" max="16384" width="8.796875" style="38"/>
  </cols>
  <sheetData>
    <row r="1" spans="1:12" s="3" customFormat="1" x14ac:dyDescent="0.3">
      <c r="A1" s="42" t="s">
        <v>12</v>
      </c>
      <c r="B1" s="42"/>
      <c r="C1" s="42"/>
      <c r="D1" s="42"/>
      <c r="E1" s="37"/>
      <c r="I1" s="37"/>
    </row>
    <row r="3" spans="1:12" s="3" customFormat="1" x14ac:dyDescent="0.3">
      <c r="A3" s="43" t="s">
        <v>16</v>
      </c>
      <c r="B3" s="43"/>
      <c r="C3" s="43"/>
      <c r="E3" s="43" t="s">
        <v>14</v>
      </c>
      <c r="F3" s="43"/>
      <c r="G3" s="43"/>
      <c r="I3" s="43" t="s">
        <v>15</v>
      </c>
      <c r="J3" s="43"/>
      <c r="K3" s="43"/>
    </row>
    <row r="4" spans="1:12" x14ac:dyDescent="0.3">
      <c r="A4" s="39">
        <v>2015</v>
      </c>
      <c r="B4" s="1" t="s">
        <v>0</v>
      </c>
      <c r="C4" s="1">
        <v>4174825.91</v>
      </c>
      <c r="E4" s="39">
        <v>2023</v>
      </c>
      <c r="F4" s="1" t="s">
        <v>0</v>
      </c>
      <c r="G4" s="1">
        <v>8271838.0999999996</v>
      </c>
      <c r="I4" s="34">
        <v>2018</v>
      </c>
      <c r="J4" s="1" t="s">
        <v>0</v>
      </c>
      <c r="K4" s="1">
        <v>5351684.67</v>
      </c>
    </row>
    <row r="5" spans="1:12" x14ac:dyDescent="0.3">
      <c r="A5" s="40"/>
      <c r="B5" s="1" t="s">
        <v>1</v>
      </c>
      <c r="C5" s="1">
        <v>4218122.76</v>
      </c>
      <c r="E5" s="40"/>
      <c r="F5" s="1" t="s">
        <v>1</v>
      </c>
      <c r="G5" s="1">
        <v>8300648.3700000001</v>
      </c>
      <c r="I5" s="35"/>
      <c r="J5" s="1" t="s">
        <v>1</v>
      </c>
      <c r="K5" s="1">
        <v>5351650.33</v>
      </c>
      <c r="L5" s="38">
        <v>-34.339999999850988</v>
      </c>
    </row>
    <row r="6" spans="1:12" x14ac:dyDescent="0.3">
      <c r="A6" s="40"/>
      <c r="B6" s="1" t="s">
        <v>2</v>
      </c>
      <c r="C6" s="1">
        <v>4246361.1900000004</v>
      </c>
      <c r="E6" s="40"/>
      <c r="F6" s="1" t="s">
        <v>2</v>
      </c>
      <c r="G6" s="1">
        <v>8293283.2300000004</v>
      </c>
      <c r="I6" s="35"/>
      <c r="J6" s="1" t="s">
        <v>2</v>
      </c>
      <c r="K6" s="1">
        <v>5395826.04</v>
      </c>
      <c r="L6" s="38">
        <v>44175.709999999963</v>
      </c>
    </row>
    <row r="7" spans="1:12" x14ac:dyDescent="0.3">
      <c r="A7" s="40"/>
      <c r="B7" s="1" t="s">
        <v>3</v>
      </c>
      <c r="C7" s="1">
        <v>4275711.1100000003</v>
      </c>
      <c r="E7" s="40"/>
      <c r="F7" s="1" t="s">
        <v>3</v>
      </c>
      <c r="G7" s="1">
        <v>8352349.6799999997</v>
      </c>
      <c r="I7" s="35"/>
      <c r="J7" s="1" t="s">
        <v>3</v>
      </c>
      <c r="K7" s="1">
        <v>5409088.8099999996</v>
      </c>
      <c r="L7" s="38">
        <v>13262.769999999553</v>
      </c>
    </row>
    <row r="8" spans="1:12" x14ac:dyDescent="0.3">
      <c r="A8" s="40"/>
      <c r="B8" s="1" t="s">
        <v>4</v>
      </c>
      <c r="C8" s="1">
        <v>4288369.26</v>
      </c>
      <c r="E8" s="40"/>
      <c r="F8" s="1" t="s">
        <v>4</v>
      </c>
      <c r="G8" s="1">
        <v>8336170.79</v>
      </c>
      <c r="I8" s="35"/>
      <c r="J8" s="1" t="s">
        <v>4</v>
      </c>
      <c r="K8" s="1">
        <v>5435082.9299999997</v>
      </c>
      <c r="L8" s="38">
        <v>25994.120000000112</v>
      </c>
    </row>
    <row r="9" spans="1:12" x14ac:dyDescent="0.3">
      <c r="A9" s="40"/>
      <c r="B9" s="1" t="s">
        <v>5</v>
      </c>
      <c r="C9" s="1">
        <v>4358801.51</v>
      </c>
      <c r="E9" s="40"/>
      <c r="F9" s="1" t="s">
        <v>5</v>
      </c>
      <c r="G9" s="1">
        <v>8372990.3200000003</v>
      </c>
      <c r="I9" s="35"/>
      <c r="J9" s="1" t="s">
        <v>5</v>
      </c>
      <c r="K9" s="1">
        <v>5534149.8300000001</v>
      </c>
      <c r="L9" s="38">
        <v>99066.900000000373</v>
      </c>
    </row>
    <row r="10" spans="1:12" x14ac:dyDescent="0.3">
      <c r="A10" s="40"/>
      <c r="B10" s="1" t="s">
        <v>6</v>
      </c>
      <c r="C10" s="1">
        <v>4373208.0999999996</v>
      </c>
      <c r="E10" s="40"/>
      <c r="F10" s="1" t="s">
        <v>6</v>
      </c>
      <c r="G10" s="1">
        <v>8349492.3200000003</v>
      </c>
      <c r="I10" s="35"/>
      <c r="J10" s="1" t="s">
        <v>6</v>
      </c>
      <c r="K10" s="1">
        <v>5507791.75</v>
      </c>
      <c r="L10" s="38">
        <v>-26358.080000000075</v>
      </c>
    </row>
    <row r="11" spans="1:12" x14ac:dyDescent="0.3">
      <c r="A11" s="40"/>
      <c r="B11" s="1" t="s">
        <v>7</v>
      </c>
      <c r="C11" s="1">
        <v>4404085.03</v>
      </c>
      <c r="E11" s="40"/>
      <c r="F11" s="1" t="s">
        <v>7</v>
      </c>
      <c r="G11" s="1">
        <v>8364739</v>
      </c>
      <c r="I11" s="35"/>
      <c r="J11" s="1" t="s">
        <v>7</v>
      </c>
      <c r="K11" s="1">
        <v>5529451.8099999996</v>
      </c>
      <c r="L11" s="38">
        <v>21660.05999999959</v>
      </c>
    </row>
    <row r="12" spans="1:12" x14ac:dyDescent="0.3">
      <c r="A12" s="40"/>
      <c r="B12" s="1" t="s">
        <v>8</v>
      </c>
      <c r="C12" s="1">
        <v>4508603.17</v>
      </c>
      <c r="E12" s="40"/>
      <c r="F12" s="1" t="s">
        <v>8</v>
      </c>
      <c r="G12" s="1">
        <v>8441236.4399999995</v>
      </c>
      <c r="I12" s="35"/>
      <c r="J12" s="1" t="s">
        <v>8</v>
      </c>
      <c r="K12" s="1">
        <v>5606779.8899999997</v>
      </c>
      <c r="L12" s="38">
        <v>77328.080000000075</v>
      </c>
    </row>
    <row r="13" spans="1:12" x14ac:dyDescent="0.3">
      <c r="A13" s="40"/>
      <c r="B13" s="1" t="s">
        <v>9</v>
      </c>
      <c r="C13" s="1">
        <v>4443078.08</v>
      </c>
      <c r="E13" s="40"/>
      <c r="F13" s="1" t="s">
        <v>9</v>
      </c>
      <c r="G13" s="1">
        <v>8506544.0600000005</v>
      </c>
      <c r="I13" s="35"/>
      <c r="J13" s="1" t="s">
        <v>9</v>
      </c>
      <c r="K13" s="1">
        <v>5667512.0999999996</v>
      </c>
      <c r="L13" s="38">
        <v>60732.209999999963</v>
      </c>
    </row>
    <row r="14" spans="1:12" x14ac:dyDescent="0.3">
      <c r="A14" s="40"/>
      <c r="B14" s="1" t="s">
        <v>10</v>
      </c>
      <c r="C14" s="1">
        <v>4452324.6500000004</v>
      </c>
      <c r="E14" s="40"/>
      <c r="F14" s="1" t="s">
        <v>10</v>
      </c>
      <c r="G14" s="1">
        <v>8574917.0999999996</v>
      </c>
      <c r="I14" s="35"/>
      <c r="J14" s="1" t="s">
        <v>10</v>
      </c>
      <c r="K14" s="1">
        <v>5670975.2400000002</v>
      </c>
      <c r="L14" s="38">
        <v>3463.140000000596</v>
      </c>
    </row>
    <row r="15" spans="1:12" x14ac:dyDescent="0.3">
      <c r="A15" s="41"/>
      <c r="B15" s="1" t="s">
        <v>11</v>
      </c>
      <c r="C15" s="1">
        <v>4548800.2699999996</v>
      </c>
      <c r="E15" s="41"/>
      <c r="F15" s="1" t="s">
        <v>11</v>
      </c>
      <c r="G15" s="1">
        <v>8826531</v>
      </c>
      <c r="I15" s="36"/>
      <c r="J15" s="1" t="s">
        <v>11</v>
      </c>
      <c r="K15" s="1">
        <v>5760046.2000000002</v>
      </c>
      <c r="L15" s="38">
        <v>89070.959999999963</v>
      </c>
    </row>
    <row r="16" spans="1:12" x14ac:dyDescent="0.3">
      <c r="A16" s="39">
        <v>2016</v>
      </c>
      <c r="B16" s="1" t="s">
        <v>0</v>
      </c>
      <c r="C16" s="1">
        <v>4498361.28</v>
      </c>
      <c r="E16" s="39">
        <v>2024</v>
      </c>
      <c r="F16" s="1" t="s">
        <v>0</v>
      </c>
      <c r="G16" s="1">
        <v>8721949.6899999995</v>
      </c>
      <c r="I16" s="34">
        <v>2019</v>
      </c>
      <c r="J16" s="1" t="s">
        <v>0</v>
      </c>
      <c r="K16" s="1">
        <v>5644985</v>
      </c>
      <c r="L16" s="38">
        <v>-115061.20000000019</v>
      </c>
    </row>
    <row r="17" spans="1:12" x14ac:dyDescent="0.3">
      <c r="A17" s="40"/>
      <c r="B17" s="1" t="s">
        <v>1</v>
      </c>
      <c r="C17" s="1">
        <v>4521951.2</v>
      </c>
      <c r="E17" s="40"/>
      <c r="F17" s="1" t="s">
        <v>1</v>
      </c>
      <c r="G17" s="1">
        <v>8739622.9299999997</v>
      </c>
      <c r="I17" s="35"/>
      <c r="J17" s="1" t="s">
        <v>1</v>
      </c>
      <c r="K17" s="1">
        <v>5670778</v>
      </c>
      <c r="L17" s="38">
        <v>25793</v>
      </c>
    </row>
    <row r="18" spans="1:12" x14ac:dyDescent="0.3">
      <c r="A18" s="40"/>
      <c r="B18" s="1" t="s">
        <v>2</v>
      </c>
      <c r="C18" s="1">
        <v>4561872.5199999996</v>
      </c>
      <c r="E18" s="40"/>
      <c r="F18" s="33" t="s">
        <v>2</v>
      </c>
      <c r="G18" s="33">
        <v>8888399.5299999993</v>
      </c>
      <c r="I18" s="35"/>
      <c r="J18" s="1" t="s">
        <v>2</v>
      </c>
      <c r="K18" s="1">
        <v>5747247</v>
      </c>
      <c r="L18" s="38">
        <v>76469</v>
      </c>
    </row>
    <row r="19" spans="1:12" x14ac:dyDescent="0.3">
      <c r="A19" s="40"/>
      <c r="B19" s="1" t="s">
        <v>3</v>
      </c>
      <c r="C19" s="1">
        <v>4581877.87</v>
      </c>
      <c r="E19" s="31"/>
      <c r="I19" s="35"/>
      <c r="J19" s="1" t="s">
        <v>3</v>
      </c>
      <c r="K19" s="1">
        <v>5746732</v>
      </c>
      <c r="L19" s="38">
        <v>-515</v>
      </c>
    </row>
    <row r="20" spans="1:12" x14ac:dyDescent="0.3">
      <c r="A20" s="40"/>
      <c r="B20" s="1" t="s">
        <v>4</v>
      </c>
      <c r="C20" s="1">
        <v>4614061.82</v>
      </c>
      <c r="E20" s="31"/>
      <c r="I20" s="35"/>
      <c r="J20" s="1" t="s">
        <v>4</v>
      </c>
      <c r="K20" s="1">
        <v>5860509</v>
      </c>
      <c r="L20" s="38">
        <v>113777</v>
      </c>
    </row>
    <row r="21" spans="1:12" x14ac:dyDescent="0.3">
      <c r="A21" s="40"/>
      <c r="B21" s="1" t="s">
        <v>5</v>
      </c>
      <c r="C21" s="1">
        <v>4737451.2300000004</v>
      </c>
      <c r="E21" s="31"/>
      <c r="I21" s="35"/>
      <c r="J21" s="1" t="s">
        <v>5</v>
      </c>
      <c r="K21" s="1">
        <v>5908509</v>
      </c>
      <c r="L21" s="38">
        <v>48000</v>
      </c>
    </row>
    <row r="22" spans="1:12" x14ac:dyDescent="0.3">
      <c r="A22" s="40"/>
      <c r="B22" s="1" t="s">
        <v>6</v>
      </c>
      <c r="C22" s="1">
        <v>4730379.68</v>
      </c>
      <c r="E22" s="31"/>
      <c r="I22" s="35"/>
      <c r="J22" s="1" t="s">
        <v>6</v>
      </c>
      <c r="K22" s="1">
        <v>5941133</v>
      </c>
      <c r="L22" s="38">
        <v>32624</v>
      </c>
    </row>
    <row r="23" spans="1:12" x14ac:dyDescent="0.3">
      <c r="A23" s="40"/>
      <c r="B23" s="1" t="s">
        <v>7</v>
      </c>
      <c r="C23" s="1">
        <v>4746026.68</v>
      </c>
      <c r="I23" s="35"/>
      <c r="J23" s="1" t="s">
        <v>7</v>
      </c>
      <c r="K23" s="1">
        <v>5934562</v>
      </c>
      <c r="L23" s="38">
        <v>-6571</v>
      </c>
    </row>
    <row r="24" spans="1:12" x14ac:dyDescent="0.3">
      <c r="A24" s="40"/>
      <c r="B24" s="1" t="s">
        <v>8</v>
      </c>
      <c r="C24" s="1">
        <v>4737630.76</v>
      </c>
      <c r="I24" s="35"/>
      <c r="J24" s="1" t="s">
        <v>8</v>
      </c>
      <c r="K24" s="1">
        <v>6134178</v>
      </c>
      <c r="L24" s="38">
        <v>199616</v>
      </c>
    </row>
    <row r="25" spans="1:12" x14ac:dyDescent="0.3">
      <c r="A25" s="40"/>
      <c r="B25" s="1" t="s">
        <v>9</v>
      </c>
      <c r="C25" s="1">
        <v>4778478.8899999997</v>
      </c>
      <c r="I25" s="35"/>
      <c r="J25" s="1" t="s">
        <v>9</v>
      </c>
      <c r="K25" s="1">
        <v>6026908</v>
      </c>
      <c r="L25" s="38">
        <v>-107270</v>
      </c>
    </row>
    <row r="26" spans="1:12" x14ac:dyDescent="0.3">
      <c r="A26" s="40"/>
      <c r="B26" s="1" t="s">
        <v>10</v>
      </c>
      <c r="C26" s="1">
        <v>4868651.16</v>
      </c>
      <c r="I26" s="35"/>
      <c r="J26" s="1" t="s">
        <v>10</v>
      </c>
      <c r="K26" s="1">
        <v>6074377</v>
      </c>
      <c r="L26" s="38">
        <v>47469</v>
      </c>
    </row>
    <row r="27" spans="1:12" x14ac:dyDescent="0.3">
      <c r="A27" s="41"/>
      <c r="B27" s="1" t="s">
        <v>11</v>
      </c>
      <c r="C27" s="1">
        <v>5004976.79</v>
      </c>
      <c r="I27" s="36"/>
      <c r="J27" s="1" t="s">
        <v>11</v>
      </c>
      <c r="K27" s="1">
        <v>6136552</v>
      </c>
      <c r="L27" s="38">
        <v>62175</v>
      </c>
    </row>
    <row r="28" spans="1:12" x14ac:dyDescent="0.3">
      <c r="A28" s="39">
        <v>2017</v>
      </c>
      <c r="B28" s="1" t="s">
        <v>0</v>
      </c>
      <c r="C28" s="1">
        <v>4936881.99</v>
      </c>
      <c r="I28" s="34">
        <v>2020</v>
      </c>
      <c r="J28" s="1" t="s">
        <v>0</v>
      </c>
      <c r="K28" s="1">
        <v>6046651</v>
      </c>
      <c r="L28" s="38">
        <v>-89901</v>
      </c>
    </row>
    <row r="29" spans="1:12" x14ac:dyDescent="0.3">
      <c r="A29" s="40"/>
      <c r="B29" s="1" t="s">
        <v>1</v>
      </c>
      <c r="C29" s="1">
        <v>4942919.76</v>
      </c>
      <c r="I29" s="35"/>
      <c r="J29" s="1" t="s">
        <v>1</v>
      </c>
      <c r="K29" s="1">
        <v>6116495</v>
      </c>
      <c r="L29" s="38">
        <v>69844</v>
      </c>
    </row>
    <row r="30" spans="1:12" x14ac:dyDescent="0.3">
      <c r="A30" s="40"/>
      <c r="B30" s="1" t="s">
        <v>2</v>
      </c>
      <c r="C30" s="1">
        <v>5017643.55</v>
      </c>
      <c r="I30" s="35"/>
      <c r="J30" s="1" t="s">
        <v>2</v>
      </c>
      <c r="K30" s="1">
        <v>6440457.3899999997</v>
      </c>
      <c r="L30" s="38">
        <v>323962.38999999966</v>
      </c>
    </row>
    <row r="31" spans="1:12" x14ac:dyDescent="0.3">
      <c r="A31" s="40"/>
      <c r="B31" s="1" t="s">
        <v>3</v>
      </c>
      <c r="C31" s="1">
        <v>5033780.29</v>
      </c>
      <c r="I31" s="35"/>
      <c r="J31" s="1" t="s">
        <v>3</v>
      </c>
      <c r="K31" s="1">
        <v>6238267</v>
      </c>
      <c r="L31" s="38">
        <v>-202190.38999999966</v>
      </c>
    </row>
    <row r="32" spans="1:12" x14ac:dyDescent="0.3">
      <c r="A32" s="40"/>
      <c r="B32" s="1" t="s">
        <v>4</v>
      </c>
      <c r="C32" s="1">
        <v>5125383.79</v>
      </c>
      <c r="I32" s="35"/>
      <c r="J32" s="1" t="s">
        <v>4</v>
      </c>
      <c r="K32" s="1">
        <v>6468193.5</v>
      </c>
      <c r="L32" s="38">
        <v>229926.5</v>
      </c>
    </row>
    <row r="33" spans="1:12" x14ac:dyDescent="0.3">
      <c r="A33" s="40"/>
      <c r="B33" s="1" t="s">
        <v>5</v>
      </c>
      <c r="C33" s="1">
        <v>5225165.76</v>
      </c>
      <c r="I33" s="35"/>
      <c r="J33" s="1" t="s">
        <v>5</v>
      </c>
      <c r="K33" s="1">
        <v>6393743.7999999998</v>
      </c>
      <c r="L33" s="38">
        <v>-74449.700000000186</v>
      </c>
    </row>
    <row r="34" spans="1:12" x14ac:dyDescent="0.3">
      <c r="A34" s="40"/>
      <c r="B34" s="1" t="s">
        <v>6</v>
      </c>
      <c r="C34" s="1">
        <v>5178078.75</v>
      </c>
      <c r="I34" s="35"/>
      <c r="J34" s="1" t="s">
        <v>6</v>
      </c>
      <c r="K34" s="1">
        <v>6567725.0199999996</v>
      </c>
      <c r="L34" s="38">
        <v>173981.21999999974</v>
      </c>
    </row>
    <row r="35" spans="1:12" x14ac:dyDescent="0.3">
      <c r="A35" s="40"/>
      <c r="B35" s="1" t="s">
        <v>7</v>
      </c>
      <c r="C35" s="1">
        <v>5219647.63</v>
      </c>
      <c r="I35" s="35"/>
      <c r="J35" s="1" t="s">
        <v>7</v>
      </c>
      <c r="K35" s="1">
        <v>6726135.25</v>
      </c>
      <c r="L35" s="38">
        <v>158410.23000000045</v>
      </c>
    </row>
    <row r="36" spans="1:12" x14ac:dyDescent="0.3">
      <c r="A36" s="40"/>
      <c r="B36" s="1" t="s">
        <v>8</v>
      </c>
      <c r="C36" s="1">
        <v>5254138.51</v>
      </c>
      <c r="I36" s="35"/>
      <c r="J36" s="1" t="s">
        <v>8</v>
      </c>
      <c r="K36" s="1">
        <v>6748574.0300000003</v>
      </c>
      <c r="L36" s="38">
        <v>22438.780000000261</v>
      </c>
    </row>
    <row r="37" spans="1:12" x14ac:dyDescent="0.3">
      <c r="A37" s="40"/>
      <c r="B37" s="1" t="s">
        <v>9</v>
      </c>
      <c r="C37" s="1">
        <v>5284320.16</v>
      </c>
      <c r="I37" s="35"/>
      <c r="J37" s="1" t="s">
        <v>9</v>
      </c>
      <c r="K37" s="1">
        <v>6780844.54</v>
      </c>
      <c r="L37" s="38">
        <v>32270.509999999776</v>
      </c>
    </row>
    <row r="38" spans="1:12" x14ac:dyDescent="0.3">
      <c r="A38" s="40"/>
      <c r="B38" s="1" t="s">
        <v>10</v>
      </c>
      <c r="C38" s="1">
        <v>5321431.7699999996</v>
      </c>
      <c r="I38" s="35"/>
      <c r="J38" s="1" t="s">
        <v>10</v>
      </c>
      <c r="K38" s="1">
        <v>6817456.6799999997</v>
      </c>
      <c r="L38" s="38">
        <v>36612.139999999665</v>
      </c>
    </row>
    <row r="39" spans="1:12" x14ac:dyDescent="0.3">
      <c r="A39" s="41"/>
      <c r="B39" s="1" t="s">
        <v>11</v>
      </c>
      <c r="C39" s="1">
        <v>5419165.0499999998</v>
      </c>
      <c r="I39" s="36"/>
      <c r="J39" s="1" t="s">
        <v>11</v>
      </c>
      <c r="K39" s="1">
        <v>6900049.4900000002</v>
      </c>
      <c r="L39" s="38">
        <v>82592.810000000522</v>
      </c>
    </row>
    <row r="40" spans="1:12" x14ac:dyDescent="0.3">
      <c r="A40" s="39">
        <v>2018</v>
      </c>
      <c r="B40" s="1" t="s">
        <v>0</v>
      </c>
      <c r="C40" s="1">
        <v>5351684.67</v>
      </c>
      <c r="I40" s="34">
        <v>2021</v>
      </c>
      <c r="J40" s="1" t="s">
        <v>0</v>
      </c>
      <c r="K40" s="1">
        <v>6767407.6500000004</v>
      </c>
      <c r="L40" s="38">
        <v>-132641.83999999985</v>
      </c>
    </row>
    <row r="41" spans="1:12" x14ac:dyDescent="0.3">
      <c r="A41" s="40"/>
      <c r="B41" s="1" t="s">
        <v>1</v>
      </c>
      <c r="C41" s="1">
        <v>5351650.33</v>
      </c>
      <c r="I41" s="35"/>
      <c r="J41" s="1" t="s">
        <v>1</v>
      </c>
      <c r="K41" s="1">
        <v>6817787.9100000001</v>
      </c>
      <c r="L41" s="38">
        <v>50380.259999999776</v>
      </c>
    </row>
    <row r="42" spans="1:12" x14ac:dyDescent="0.3">
      <c r="A42" s="40"/>
      <c r="B42" s="1" t="s">
        <v>2</v>
      </c>
      <c r="C42" s="1">
        <v>5395826.04</v>
      </c>
      <c r="I42" s="35"/>
      <c r="J42" s="1" t="s">
        <v>2</v>
      </c>
      <c r="K42" s="1">
        <v>6895564.1200000001</v>
      </c>
      <c r="L42" s="38">
        <v>77776.209999999963</v>
      </c>
    </row>
    <row r="43" spans="1:12" x14ac:dyDescent="0.3">
      <c r="A43" s="40"/>
      <c r="B43" s="1" t="s">
        <v>3</v>
      </c>
      <c r="C43" s="1">
        <v>5409088.8099999996</v>
      </c>
      <c r="I43" s="35"/>
      <c r="J43" s="1" t="s">
        <v>3</v>
      </c>
      <c r="K43" s="1">
        <v>6964386.4900000002</v>
      </c>
      <c r="L43" s="38">
        <v>68822.370000000112</v>
      </c>
    </row>
    <row r="44" spans="1:12" x14ac:dyDescent="0.3">
      <c r="A44" s="40"/>
      <c r="B44" s="1" t="s">
        <v>4</v>
      </c>
      <c r="C44" s="1">
        <v>5435082.9299999997</v>
      </c>
      <c r="I44" s="35"/>
      <c r="J44" s="1" t="s">
        <v>4</v>
      </c>
      <c r="K44" s="1">
        <v>7004093.0800000001</v>
      </c>
      <c r="L44" s="38">
        <v>39706.589999999851</v>
      </c>
    </row>
    <row r="45" spans="1:12" x14ac:dyDescent="0.3">
      <c r="A45" s="40"/>
      <c r="B45" s="1" t="s">
        <v>5</v>
      </c>
      <c r="C45" s="1">
        <v>5534149.8300000001</v>
      </c>
      <c r="I45" s="35"/>
      <c r="J45" s="1" t="s">
        <v>5</v>
      </c>
      <c r="K45" s="1">
        <v>7130061.4199999999</v>
      </c>
      <c r="L45" s="38">
        <v>125968.33999999985</v>
      </c>
    </row>
    <row r="46" spans="1:12" x14ac:dyDescent="0.3">
      <c r="A46" s="40"/>
      <c r="B46" s="1" t="s">
        <v>6</v>
      </c>
      <c r="C46" s="1">
        <v>5507791.75</v>
      </c>
      <c r="I46" s="35"/>
      <c r="J46" s="1" t="s">
        <v>6</v>
      </c>
      <c r="K46" s="1">
        <v>7160560.3300000001</v>
      </c>
      <c r="L46" s="38">
        <v>30498.910000000149</v>
      </c>
    </row>
    <row r="47" spans="1:12" x14ac:dyDescent="0.3">
      <c r="A47" s="40"/>
      <c r="B47" s="1" t="s">
        <v>7</v>
      </c>
      <c r="C47" s="1">
        <v>5529451.8099999996</v>
      </c>
      <c r="I47" s="35"/>
      <c r="J47" s="1" t="s">
        <v>7</v>
      </c>
      <c r="K47" s="1">
        <v>7211500.7199999997</v>
      </c>
      <c r="L47" s="38">
        <v>50940.389999999665</v>
      </c>
    </row>
    <row r="48" spans="1:12" x14ac:dyDescent="0.3">
      <c r="A48" s="40"/>
      <c r="B48" s="1" t="s">
        <v>8</v>
      </c>
      <c r="C48" s="1">
        <v>5606779.8899999997</v>
      </c>
      <c r="I48" s="35"/>
      <c r="J48" s="1" t="s">
        <v>8</v>
      </c>
      <c r="K48" s="1">
        <v>7300920.6399999997</v>
      </c>
      <c r="L48" s="38">
        <v>89419.919999999925</v>
      </c>
    </row>
    <row r="49" spans="1:12" x14ac:dyDescent="0.3">
      <c r="A49" s="40"/>
      <c r="B49" s="1" t="s">
        <v>9</v>
      </c>
      <c r="C49" s="1">
        <v>5667512.0999999996</v>
      </c>
      <c r="I49" s="35"/>
      <c r="J49" s="1" t="s">
        <v>9</v>
      </c>
      <c r="K49" s="1">
        <v>7491704.3799999999</v>
      </c>
      <c r="L49" s="38">
        <v>190783.74000000022</v>
      </c>
    </row>
    <row r="50" spans="1:12" x14ac:dyDescent="0.3">
      <c r="A50" s="40"/>
      <c r="B50" s="1" t="s">
        <v>10</v>
      </c>
      <c r="C50" s="1">
        <v>5670975.2400000002</v>
      </c>
      <c r="I50" s="35"/>
      <c r="J50" s="1" t="s">
        <v>10</v>
      </c>
      <c r="K50" s="1">
        <v>7573319.9000000004</v>
      </c>
      <c r="L50" s="38">
        <v>81615.520000000484</v>
      </c>
    </row>
    <row r="51" spans="1:12" x14ac:dyDescent="0.3">
      <c r="A51" s="41"/>
      <c r="B51" s="1" t="s">
        <v>11</v>
      </c>
      <c r="C51" s="1">
        <v>5760046.2000000002</v>
      </c>
      <c r="I51" s="36"/>
      <c r="J51" s="1" t="s">
        <v>11</v>
      </c>
      <c r="K51" s="1">
        <v>7870452.8499999996</v>
      </c>
      <c r="L51" s="38">
        <v>297132.94999999925</v>
      </c>
    </row>
    <row r="52" spans="1:12" x14ac:dyDescent="0.3">
      <c r="A52" s="39">
        <v>2019</v>
      </c>
      <c r="B52" s="1" t="s">
        <v>0</v>
      </c>
      <c r="C52" s="1">
        <v>5644985</v>
      </c>
      <c r="I52" s="39">
        <v>2022</v>
      </c>
      <c r="J52" s="1" t="s">
        <v>0</v>
      </c>
      <c r="K52" s="1">
        <v>7646789.1900000004</v>
      </c>
      <c r="L52" s="38">
        <v>-223663.65999999922</v>
      </c>
    </row>
    <row r="53" spans="1:12" x14ac:dyDescent="0.3">
      <c r="A53" s="40"/>
      <c r="B53" s="1" t="s">
        <v>1</v>
      </c>
      <c r="C53" s="1">
        <v>5670778</v>
      </c>
      <c r="I53" s="40"/>
      <c r="J53" s="1" t="s">
        <v>1</v>
      </c>
      <c r="K53" s="1">
        <v>7690134.5</v>
      </c>
      <c r="L53" s="38">
        <v>43345.30999999959</v>
      </c>
    </row>
    <row r="54" spans="1:12" x14ac:dyDescent="0.3">
      <c r="A54" s="40"/>
      <c r="B54" s="1" t="s">
        <v>2</v>
      </c>
      <c r="C54" s="1">
        <v>5747247</v>
      </c>
      <c r="I54" s="40"/>
      <c r="J54" s="1" t="s">
        <v>2</v>
      </c>
      <c r="K54" s="1">
        <v>7810949.3200000003</v>
      </c>
      <c r="L54" s="38">
        <v>120814.8200000003</v>
      </c>
    </row>
    <row r="55" spans="1:12" x14ac:dyDescent="0.3">
      <c r="A55" s="40"/>
      <c r="B55" s="1" t="s">
        <v>3</v>
      </c>
      <c r="C55" s="1">
        <v>5746732</v>
      </c>
      <c r="I55" s="40"/>
      <c r="J55" s="1" t="s">
        <v>3</v>
      </c>
      <c r="K55" s="1">
        <v>7911484.4900000002</v>
      </c>
      <c r="L55" s="38">
        <v>100535.16999999993</v>
      </c>
    </row>
    <row r="56" spans="1:12" x14ac:dyDescent="0.3">
      <c r="A56" s="40"/>
      <c r="B56" s="1" t="s">
        <v>4</v>
      </c>
      <c r="C56" s="1">
        <v>5860509</v>
      </c>
      <c r="I56" s="40"/>
      <c r="J56" s="1" t="s">
        <v>4</v>
      </c>
      <c r="K56" s="1">
        <v>7854186.71</v>
      </c>
      <c r="L56" s="38">
        <v>-57297.780000000261</v>
      </c>
    </row>
    <row r="57" spans="1:12" x14ac:dyDescent="0.3">
      <c r="A57" s="40"/>
      <c r="B57" s="1" t="s">
        <v>5</v>
      </c>
      <c r="C57" s="1">
        <v>5908509</v>
      </c>
      <c r="I57" s="40"/>
      <c r="J57" s="1" t="s">
        <v>5</v>
      </c>
      <c r="K57" s="1">
        <v>7890747.0099999998</v>
      </c>
      <c r="L57" s="38">
        <v>36560.299999999814</v>
      </c>
    </row>
    <row r="58" spans="1:12" x14ac:dyDescent="0.3">
      <c r="A58" s="40"/>
      <c r="B58" s="1" t="s">
        <v>6</v>
      </c>
      <c r="C58" s="1">
        <v>5941133</v>
      </c>
      <c r="I58" s="40"/>
      <c r="J58" s="1" t="s">
        <v>6</v>
      </c>
      <c r="K58" s="1">
        <v>7845551.9100000001</v>
      </c>
      <c r="L58" s="38">
        <v>-45195.099999999627</v>
      </c>
    </row>
    <row r="59" spans="1:12" x14ac:dyDescent="0.3">
      <c r="A59" s="40"/>
      <c r="B59" s="1" t="s">
        <v>7</v>
      </c>
      <c r="C59" s="1">
        <v>5934562</v>
      </c>
      <c r="I59" s="40"/>
      <c r="J59" s="1" t="s">
        <v>7</v>
      </c>
      <c r="K59" s="1">
        <v>7897628.21</v>
      </c>
      <c r="L59" s="38">
        <v>52076.299999999814</v>
      </c>
    </row>
    <row r="60" spans="1:12" x14ac:dyDescent="0.3">
      <c r="A60" s="40"/>
      <c r="B60" s="1" t="s">
        <v>8</v>
      </c>
      <c r="C60" s="1">
        <v>6134178</v>
      </c>
      <c r="I60" s="40"/>
      <c r="J60" s="1" t="s">
        <v>8</v>
      </c>
      <c r="K60" s="1">
        <v>7962693.3600000003</v>
      </c>
      <c r="L60" s="38">
        <v>65065.150000000373</v>
      </c>
    </row>
    <row r="61" spans="1:12" x14ac:dyDescent="0.3">
      <c r="A61" s="40"/>
      <c r="B61" s="1" t="s">
        <v>9</v>
      </c>
      <c r="C61" s="1">
        <v>6026908</v>
      </c>
      <c r="I61" s="40"/>
      <c r="J61" s="1" t="s">
        <v>9</v>
      </c>
      <c r="K61" s="1">
        <v>8223055.0199999996</v>
      </c>
      <c r="L61" s="38">
        <v>260361.65999999922</v>
      </c>
    </row>
    <row r="62" spans="1:12" x14ac:dyDescent="0.3">
      <c r="A62" s="40"/>
      <c r="B62" s="1" t="s">
        <v>10</v>
      </c>
      <c r="C62" s="1">
        <v>6074377</v>
      </c>
      <c r="I62" s="40"/>
      <c r="J62" s="1" t="s">
        <v>10</v>
      </c>
      <c r="K62" s="1">
        <v>8297349.5099999998</v>
      </c>
      <c r="L62" s="38">
        <v>74294.490000000224</v>
      </c>
    </row>
    <row r="63" spans="1:12" x14ac:dyDescent="0.3">
      <c r="A63" s="41"/>
      <c r="B63" s="1" t="s">
        <v>11</v>
      </c>
      <c r="C63" s="1">
        <v>6136552</v>
      </c>
      <c r="I63" s="41"/>
      <c r="J63" s="1" t="s">
        <v>11</v>
      </c>
      <c r="K63" s="1">
        <v>8528022.3100000005</v>
      </c>
      <c r="L63" s="38">
        <v>230672.80000000075</v>
      </c>
    </row>
    <row r="64" spans="1:12" x14ac:dyDescent="0.3">
      <c r="A64" s="39">
        <v>2020</v>
      </c>
      <c r="B64" s="1" t="s">
        <v>0</v>
      </c>
      <c r="C64" s="1">
        <v>6046651</v>
      </c>
      <c r="I64" s="38"/>
    </row>
    <row r="65" spans="1:9" x14ac:dyDescent="0.3">
      <c r="A65" s="40"/>
      <c r="B65" s="1" t="s">
        <v>1</v>
      </c>
      <c r="C65" s="1">
        <v>6116495</v>
      </c>
      <c r="I65" s="38"/>
    </row>
    <row r="66" spans="1:9" x14ac:dyDescent="0.3">
      <c r="A66" s="40"/>
      <c r="B66" s="1" t="s">
        <v>2</v>
      </c>
      <c r="C66" s="1">
        <v>6440457.3899999997</v>
      </c>
      <c r="I66" s="38"/>
    </row>
    <row r="67" spans="1:9" x14ac:dyDescent="0.3">
      <c r="A67" s="40"/>
      <c r="B67" s="1" t="s">
        <v>3</v>
      </c>
      <c r="C67" s="1">
        <v>6238267</v>
      </c>
      <c r="I67" s="38"/>
    </row>
    <row r="68" spans="1:9" x14ac:dyDescent="0.3">
      <c r="A68" s="40"/>
      <c r="B68" s="1" t="s">
        <v>4</v>
      </c>
      <c r="C68" s="1">
        <v>6468193.5</v>
      </c>
      <c r="I68" s="38"/>
    </row>
    <row r="69" spans="1:9" x14ac:dyDescent="0.3">
      <c r="A69" s="40"/>
      <c r="B69" s="1" t="s">
        <v>5</v>
      </c>
      <c r="C69" s="1">
        <v>6393743.7999999998</v>
      </c>
      <c r="I69" s="38"/>
    </row>
    <row r="70" spans="1:9" x14ac:dyDescent="0.3">
      <c r="A70" s="40"/>
      <c r="B70" s="1" t="s">
        <v>6</v>
      </c>
      <c r="C70" s="1">
        <v>6567725.0199999996</v>
      </c>
      <c r="I70" s="38"/>
    </row>
    <row r="71" spans="1:9" x14ac:dyDescent="0.3">
      <c r="A71" s="40"/>
      <c r="B71" s="1" t="s">
        <v>7</v>
      </c>
      <c r="C71" s="1">
        <v>6726135.25</v>
      </c>
      <c r="I71" s="38"/>
    </row>
    <row r="72" spans="1:9" x14ac:dyDescent="0.3">
      <c r="A72" s="40"/>
      <c r="B72" s="1" t="s">
        <v>8</v>
      </c>
      <c r="C72" s="1">
        <v>6748574.0300000003</v>
      </c>
      <c r="I72" s="38"/>
    </row>
    <row r="73" spans="1:9" x14ac:dyDescent="0.3">
      <c r="A73" s="40"/>
      <c r="B73" s="1" t="s">
        <v>9</v>
      </c>
      <c r="C73" s="1">
        <v>6780844.54</v>
      </c>
      <c r="I73" s="38"/>
    </row>
    <row r="74" spans="1:9" x14ac:dyDescent="0.3">
      <c r="A74" s="40"/>
      <c r="B74" s="1" t="s">
        <v>10</v>
      </c>
      <c r="C74" s="1">
        <v>6817456.6799999997</v>
      </c>
      <c r="I74" s="38"/>
    </row>
    <row r="75" spans="1:9" x14ac:dyDescent="0.3">
      <c r="A75" s="41"/>
      <c r="B75" s="1" t="s">
        <v>11</v>
      </c>
      <c r="C75" s="1">
        <v>6900049.4900000002</v>
      </c>
      <c r="I75" s="38"/>
    </row>
    <row r="76" spans="1:9" x14ac:dyDescent="0.3">
      <c r="A76" s="39">
        <v>2021</v>
      </c>
      <c r="B76" s="1" t="s">
        <v>0</v>
      </c>
      <c r="C76" s="1">
        <v>6767407.6500000004</v>
      </c>
    </row>
    <row r="77" spans="1:9" x14ac:dyDescent="0.3">
      <c r="A77" s="40"/>
      <c r="B77" s="1" t="s">
        <v>1</v>
      </c>
      <c r="C77" s="1">
        <v>6817787.9100000001</v>
      </c>
    </row>
    <row r="78" spans="1:9" x14ac:dyDescent="0.3">
      <c r="A78" s="40"/>
      <c r="B78" s="1" t="s">
        <v>2</v>
      </c>
      <c r="C78" s="1">
        <v>6895564.1200000001</v>
      </c>
    </row>
    <row r="79" spans="1:9" x14ac:dyDescent="0.3">
      <c r="A79" s="40"/>
      <c r="B79" s="1" t="s">
        <v>3</v>
      </c>
      <c r="C79" s="1">
        <v>6964386.4900000002</v>
      </c>
    </row>
    <row r="80" spans="1:9" x14ac:dyDescent="0.3">
      <c r="A80" s="40"/>
      <c r="B80" s="1" t="s">
        <v>4</v>
      </c>
      <c r="C80" s="1">
        <v>7004093.0800000001</v>
      </c>
    </row>
    <row r="81" spans="1:3" x14ac:dyDescent="0.3">
      <c r="A81" s="40"/>
      <c r="B81" s="1" t="s">
        <v>5</v>
      </c>
      <c r="C81" s="1">
        <v>7130061.4199999999</v>
      </c>
    </row>
    <row r="82" spans="1:3" x14ac:dyDescent="0.3">
      <c r="A82" s="40"/>
      <c r="B82" s="1" t="s">
        <v>6</v>
      </c>
      <c r="C82" s="1">
        <v>7160560.3300000001</v>
      </c>
    </row>
    <row r="83" spans="1:3" x14ac:dyDescent="0.3">
      <c r="A83" s="40"/>
      <c r="B83" s="1" t="s">
        <v>7</v>
      </c>
      <c r="C83" s="1">
        <v>7211500.7199999997</v>
      </c>
    </row>
    <row r="84" spans="1:3" x14ac:dyDescent="0.3">
      <c r="A84" s="40"/>
      <c r="B84" s="1" t="s">
        <v>8</v>
      </c>
      <c r="C84" s="1">
        <v>7300920.6399999997</v>
      </c>
    </row>
    <row r="85" spans="1:3" x14ac:dyDescent="0.3">
      <c r="A85" s="40"/>
      <c r="B85" s="1" t="s">
        <v>9</v>
      </c>
      <c r="C85" s="1">
        <v>7491704.3799999999</v>
      </c>
    </row>
    <row r="86" spans="1:3" x14ac:dyDescent="0.3">
      <c r="A86" s="40"/>
      <c r="B86" s="1" t="s">
        <v>10</v>
      </c>
      <c r="C86" s="1">
        <v>7573319.9000000004</v>
      </c>
    </row>
    <row r="87" spans="1:3" x14ac:dyDescent="0.3">
      <c r="A87" s="41"/>
      <c r="B87" s="1" t="s">
        <v>11</v>
      </c>
      <c r="C87" s="1">
        <v>7870452.8499999996</v>
      </c>
    </row>
    <row r="88" spans="1:3" x14ac:dyDescent="0.3">
      <c r="A88" s="39">
        <v>2022</v>
      </c>
      <c r="B88" s="1" t="s">
        <v>0</v>
      </c>
      <c r="C88" s="1">
        <v>7646789.1900000004</v>
      </c>
    </row>
    <row r="89" spans="1:3" x14ac:dyDescent="0.3">
      <c r="A89" s="40"/>
      <c r="B89" s="1" t="s">
        <v>1</v>
      </c>
      <c r="C89" s="1">
        <v>7690134.5</v>
      </c>
    </row>
    <row r="90" spans="1:3" x14ac:dyDescent="0.3">
      <c r="A90" s="40"/>
      <c r="B90" s="1" t="s">
        <v>2</v>
      </c>
      <c r="C90" s="1">
        <v>7810949.3200000003</v>
      </c>
    </row>
    <row r="91" spans="1:3" x14ac:dyDescent="0.3">
      <c r="A91" s="40"/>
      <c r="B91" s="1" t="s">
        <v>3</v>
      </c>
      <c r="C91" s="1">
        <v>7911484.4900000002</v>
      </c>
    </row>
    <row r="92" spans="1:3" x14ac:dyDescent="0.3">
      <c r="A92" s="40"/>
      <c r="B92" s="1" t="s">
        <v>4</v>
      </c>
      <c r="C92" s="1">
        <v>7854186.71</v>
      </c>
    </row>
    <row r="93" spans="1:3" x14ac:dyDescent="0.3">
      <c r="A93" s="40"/>
      <c r="B93" s="1" t="s">
        <v>5</v>
      </c>
      <c r="C93" s="1">
        <v>7890747.0099999998</v>
      </c>
    </row>
    <row r="94" spans="1:3" x14ac:dyDescent="0.3">
      <c r="A94" s="40"/>
      <c r="B94" s="1" t="s">
        <v>6</v>
      </c>
      <c r="C94" s="1">
        <v>7845551.9100000001</v>
      </c>
    </row>
    <row r="95" spans="1:3" x14ac:dyDescent="0.3">
      <c r="A95" s="40"/>
      <c r="B95" s="1" t="s">
        <v>7</v>
      </c>
      <c r="C95" s="1">
        <v>7897628.21</v>
      </c>
    </row>
    <row r="96" spans="1:3" x14ac:dyDescent="0.3">
      <c r="A96" s="40"/>
      <c r="B96" s="1" t="s">
        <v>8</v>
      </c>
      <c r="C96" s="1">
        <v>7962693.3600000003</v>
      </c>
    </row>
    <row r="97" spans="1:3" x14ac:dyDescent="0.3">
      <c r="A97" s="40"/>
      <c r="B97" s="1" t="s">
        <v>9</v>
      </c>
      <c r="C97" s="1">
        <v>8223055.0199999996</v>
      </c>
    </row>
    <row r="98" spans="1:3" x14ac:dyDescent="0.3">
      <c r="A98" s="40"/>
      <c r="B98" s="1" t="s">
        <v>10</v>
      </c>
      <c r="C98" s="1">
        <v>8297349.5099999998</v>
      </c>
    </row>
    <row r="99" spans="1:3" x14ac:dyDescent="0.3">
      <c r="A99" s="41"/>
      <c r="B99" s="1" t="s">
        <v>11</v>
      </c>
      <c r="C99" s="1">
        <v>8528022.3100000005</v>
      </c>
    </row>
    <row r="100" spans="1:3" x14ac:dyDescent="0.3">
      <c r="A100" s="39">
        <v>2023</v>
      </c>
      <c r="B100" s="1" t="s">
        <v>0</v>
      </c>
      <c r="C100" s="1">
        <v>8271838.0999999996</v>
      </c>
    </row>
    <row r="101" spans="1:3" x14ac:dyDescent="0.3">
      <c r="A101" s="40"/>
      <c r="B101" s="1" t="s">
        <v>1</v>
      </c>
      <c r="C101" s="1">
        <v>8300648.3700000001</v>
      </c>
    </row>
    <row r="102" spans="1:3" x14ac:dyDescent="0.3">
      <c r="A102" s="40"/>
      <c r="B102" s="1" t="s">
        <v>2</v>
      </c>
      <c r="C102" s="1">
        <v>8293283.2300000004</v>
      </c>
    </row>
    <row r="103" spans="1:3" x14ac:dyDescent="0.3">
      <c r="A103" s="40"/>
      <c r="B103" s="1" t="s">
        <v>3</v>
      </c>
      <c r="C103" s="1">
        <v>8352349.6799999997</v>
      </c>
    </row>
    <row r="104" spans="1:3" x14ac:dyDescent="0.3">
      <c r="A104" s="40"/>
      <c r="B104" s="1" t="s">
        <v>4</v>
      </c>
      <c r="C104" s="1">
        <v>8336170.79</v>
      </c>
    </row>
    <row r="105" spans="1:3" x14ac:dyDescent="0.3">
      <c r="A105" s="40"/>
      <c r="B105" s="1" t="s">
        <v>5</v>
      </c>
      <c r="C105" s="1">
        <v>8372990.3200000003</v>
      </c>
    </row>
    <row r="106" spans="1:3" x14ac:dyDescent="0.3">
      <c r="A106" s="40"/>
      <c r="B106" s="1" t="s">
        <v>6</v>
      </c>
      <c r="C106" s="1">
        <v>8349492.3200000003</v>
      </c>
    </row>
    <row r="107" spans="1:3" x14ac:dyDescent="0.3">
      <c r="A107" s="40"/>
      <c r="B107" s="1" t="s">
        <v>7</v>
      </c>
      <c r="C107" s="1">
        <v>8364739</v>
      </c>
    </row>
    <row r="108" spans="1:3" x14ac:dyDescent="0.3">
      <c r="A108" s="40"/>
      <c r="B108" s="1" t="s">
        <v>8</v>
      </c>
      <c r="C108" s="1">
        <v>8441236.4399999995</v>
      </c>
    </row>
    <row r="109" spans="1:3" x14ac:dyDescent="0.3">
      <c r="A109" s="40"/>
      <c r="B109" s="1" t="s">
        <v>9</v>
      </c>
      <c r="C109" s="1">
        <v>8506544.0600000005</v>
      </c>
    </row>
    <row r="110" spans="1:3" x14ac:dyDescent="0.3">
      <c r="A110" s="40"/>
      <c r="B110" s="1" t="s">
        <v>10</v>
      </c>
      <c r="C110" s="1">
        <v>8574917.0999999996</v>
      </c>
    </row>
    <row r="111" spans="1:3" x14ac:dyDescent="0.3">
      <c r="A111" s="41"/>
      <c r="B111" s="1" t="s">
        <v>11</v>
      </c>
      <c r="C111" s="1">
        <v>8826531</v>
      </c>
    </row>
    <row r="112" spans="1:3" x14ac:dyDescent="0.3">
      <c r="A112" s="39">
        <v>2024</v>
      </c>
      <c r="B112" s="1" t="s">
        <v>0</v>
      </c>
      <c r="C112" s="1">
        <v>8721949.6899999995</v>
      </c>
    </row>
    <row r="113" spans="1:3" x14ac:dyDescent="0.3">
      <c r="A113" s="40"/>
      <c r="B113" s="1" t="s">
        <v>1</v>
      </c>
      <c r="C113" s="1">
        <v>8739622.9299999997</v>
      </c>
    </row>
    <row r="114" spans="1:3" x14ac:dyDescent="0.3">
      <c r="A114" s="40"/>
      <c r="B114" s="1" t="s">
        <v>2</v>
      </c>
      <c r="C114" s="1">
        <v>8888399.5299999993</v>
      </c>
    </row>
    <row r="115" spans="1:3" x14ac:dyDescent="0.3">
      <c r="A115" s="40"/>
      <c r="B115" s="1" t="s">
        <v>3</v>
      </c>
      <c r="C115" s="1">
        <v>8927959.2899999991</v>
      </c>
    </row>
    <row r="116" spans="1:3" x14ac:dyDescent="0.3">
      <c r="A116" s="40"/>
      <c r="B116" s="1" t="s">
        <v>4</v>
      </c>
      <c r="C116" s="1">
        <v>8965862.3100000005</v>
      </c>
    </row>
    <row r="117" spans="1:3" x14ac:dyDescent="0.3">
      <c r="A117" s="40"/>
      <c r="B117" s="1" t="s">
        <v>5</v>
      </c>
      <c r="C117" s="1">
        <v>9026211.8200000003</v>
      </c>
    </row>
    <row r="118" spans="1:3" x14ac:dyDescent="0.3">
      <c r="A118" s="41"/>
      <c r="B118" s="1" t="s">
        <v>6</v>
      </c>
      <c r="C118" s="1">
        <v>8970807.8300000001</v>
      </c>
    </row>
  </sheetData>
  <mergeCells count="17">
    <mergeCell ref="A64:A75"/>
    <mergeCell ref="A76:A87"/>
    <mergeCell ref="A88:A99"/>
    <mergeCell ref="A100:A111"/>
    <mergeCell ref="A112:A118"/>
    <mergeCell ref="A16:A27"/>
    <mergeCell ref="E16:E18"/>
    <mergeCell ref="A28:A39"/>
    <mergeCell ref="A40:A51"/>
    <mergeCell ref="A52:A63"/>
    <mergeCell ref="I52:I63"/>
    <mergeCell ref="A1:D1"/>
    <mergeCell ref="A3:C3"/>
    <mergeCell ref="E3:G3"/>
    <mergeCell ref="I3:K3"/>
    <mergeCell ref="A4:A15"/>
    <mergeCell ref="E4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318A-3586-4CAF-9EAF-9AE5EB8B3ED7}">
  <dimension ref="A1:AI250"/>
  <sheetViews>
    <sheetView topLeftCell="A42" zoomScale="106" workbookViewId="0">
      <selection activeCell="J4" sqref="J4:J63"/>
    </sheetView>
  </sheetViews>
  <sheetFormatPr defaultRowHeight="15.6" x14ac:dyDescent="0.3"/>
  <cols>
    <col min="1" max="1" width="8.69921875" style="14"/>
    <col min="2" max="2" width="8.69921875" style="11"/>
    <col min="3" max="3" width="8.69921875" style="12"/>
    <col min="6" max="6" width="8.69921875" style="11"/>
    <col min="7" max="7" width="8.69921875" style="12"/>
    <col min="11" max="11" width="8.69921875" style="12"/>
    <col min="14" max="14" width="8.69921875" style="11"/>
    <col min="15" max="15" width="8.69921875" style="12"/>
    <col min="18" max="18" width="8.69921875" style="11"/>
    <col min="19" max="19" width="8.69921875" style="12"/>
    <col min="22" max="22" width="8.69921875" style="11"/>
    <col min="23" max="23" width="8.69921875" style="12"/>
    <col min="26" max="26" width="8.69921875" style="11"/>
    <col min="31" max="31" width="8.69921875" style="12"/>
    <col min="34" max="34" width="8.69921875" style="11"/>
  </cols>
  <sheetData>
    <row r="1" spans="1:35" s="31" customFormat="1" ht="46.5" customHeight="1" thickTop="1" thickBot="1" x14ac:dyDescent="0.35">
      <c r="A1" s="47" t="s">
        <v>18</v>
      </c>
      <c r="B1" s="48"/>
      <c r="C1" s="49" t="s">
        <v>19</v>
      </c>
      <c r="D1" s="50"/>
      <c r="E1" s="50"/>
      <c r="F1" s="51"/>
      <c r="G1" s="52" t="s">
        <v>21</v>
      </c>
      <c r="H1" s="53"/>
      <c r="I1" s="53"/>
      <c r="J1" s="54"/>
      <c r="K1" s="52" t="s">
        <v>20</v>
      </c>
      <c r="L1" s="53"/>
      <c r="M1" s="53"/>
      <c r="N1" s="54"/>
      <c r="O1" s="52" t="s">
        <v>20</v>
      </c>
      <c r="P1" s="53"/>
      <c r="Q1" s="53"/>
      <c r="R1" s="54"/>
      <c r="S1" s="52" t="s">
        <v>20</v>
      </c>
      <c r="T1" s="53"/>
      <c r="U1" s="53"/>
      <c r="V1" s="54"/>
      <c r="W1" s="52" t="s">
        <v>21</v>
      </c>
      <c r="X1" s="53"/>
      <c r="Y1" s="53"/>
      <c r="Z1" s="54"/>
      <c r="AA1" s="44" t="s">
        <v>22</v>
      </c>
      <c r="AB1" s="45"/>
      <c r="AC1" s="45"/>
      <c r="AD1" s="46"/>
      <c r="AE1" s="44" t="s">
        <v>22</v>
      </c>
      <c r="AF1" s="45"/>
      <c r="AG1" s="45"/>
      <c r="AH1" s="46"/>
    </row>
    <row r="2" spans="1:35" s="25" customFormat="1" ht="16.8" thickTop="1" thickBot="1" x14ac:dyDescent="0.35">
      <c r="A2" s="55" t="s">
        <v>13</v>
      </c>
      <c r="B2" s="57" t="s">
        <v>17</v>
      </c>
      <c r="C2" s="23"/>
      <c r="D2" s="24"/>
      <c r="E2" s="24">
        <f>0.5</f>
        <v>0.5</v>
      </c>
      <c r="F2" s="10">
        <f>0.5</f>
        <v>0.5</v>
      </c>
      <c r="G2" s="23"/>
      <c r="H2" s="24"/>
      <c r="I2" s="24">
        <f>0.3</f>
        <v>0.3</v>
      </c>
      <c r="J2" s="24">
        <f>0.1</f>
        <v>0.1</v>
      </c>
      <c r="K2" s="23"/>
      <c r="L2" s="24"/>
      <c r="M2" s="24">
        <f>0.7</f>
        <v>0.7</v>
      </c>
      <c r="N2" s="10">
        <f>0.25</f>
        <v>0.25</v>
      </c>
      <c r="O2" s="23"/>
      <c r="P2" s="24"/>
      <c r="Q2" s="24">
        <v>0.9</v>
      </c>
      <c r="R2" s="10">
        <v>0.1</v>
      </c>
      <c r="S2" s="23"/>
      <c r="T2" s="24"/>
      <c r="U2" s="24">
        <v>0.8</v>
      </c>
      <c r="V2" s="24">
        <v>0.3</v>
      </c>
      <c r="W2" s="20"/>
      <c r="X2" s="21"/>
      <c r="Y2" s="21">
        <v>0.2</v>
      </c>
      <c r="Z2" s="21">
        <v>0.1</v>
      </c>
      <c r="AA2" s="20"/>
      <c r="AB2" s="21"/>
      <c r="AC2" s="21">
        <v>0.4</v>
      </c>
      <c r="AD2" s="21">
        <v>0.7</v>
      </c>
      <c r="AE2" s="20"/>
      <c r="AF2" s="21"/>
      <c r="AG2" s="21">
        <v>0.56999999999999995</v>
      </c>
      <c r="AH2" s="22">
        <v>0.2</v>
      </c>
      <c r="AI2" s="32"/>
    </row>
    <row r="3" spans="1:35" s="15" customFormat="1" ht="18.45" customHeight="1" thickTop="1" thickBot="1" x14ac:dyDescent="4.2">
      <c r="A3" s="56"/>
      <c r="B3" s="58"/>
      <c r="C3" s="26"/>
      <c r="D3" s="27"/>
      <c r="E3" s="28"/>
      <c r="F3" s="29"/>
      <c r="G3" s="26"/>
      <c r="H3" s="27"/>
      <c r="I3" s="28"/>
      <c r="J3" s="28"/>
      <c r="K3" s="26"/>
      <c r="L3" s="27"/>
      <c r="M3" s="28"/>
      <c r="N3" s="29"/>
      <c r="O3" s="26"/>
      <c r="P3" s="27"/>
      <c r="Q3" s="28"/>
      <c r="R3" s="29"/>
      <c r="S3" s="26"/>
      <c r="T3" s="27"/>
      <c r="U3" s="28"/>
      <c r="V3" s="29"/>
      <c r="W3" s="16"/>
      <c r="X3" s="17"/>
      <c r="Y3" s="18"/>
      <c r="Z3" s="19"/>
      <c r="AA3" s="18"/>
      <c r="AB3" s="17"/>
      <c r="AC3" s="18"/>
      <c r="AD3" s="18"/>
      <c r="AE3" s="16"/>
      <c r="AF3" s="17"/>
      <c r="AG3" s="18"/>
      <c r="AH3" s="19"/>
      <c r="AI3" s="30"/>
    </row>
    <row r="4" spans="1:35" ht="16.2" thickTop="1" x14ac:dyDescent="0.3">
      <c r="A4" s="13">
        <v>1</v>
      </c>
      <c r="B4" s="11">
        <v>5351684.67</v>
      </c>
      <c r="C4" s="12">
        <v>5351684.67</v>
      </c>
      <c r="D4">
        <v>0</v>
      </c>
      <c r="E4">
        <v>5351684.67</v>
      </c>
      <c r="F4" s="11">
        <v>0</v>
      </c>
      <c r="G4" s="12">
        <v>5351684.67</v>
      </c>
      <c r="H4">
        <v>0</v>
      </c>
      <c r="I4">
        <v>5351684.67</v>
      </c>
      <c r="J4">
        <v>0</v>
      </c>
      <c r="K4" s="12">
        <v>5351684.67</v>
      </c>
      <c r="L4">
        <v>0</v>
      </c>
      <c r="M4">
        <v>5351684.67</v>
      </c>
      <c r="N4" s="11">
        <v>0</v>
      </c>
      <c r="O4" s="12">
        <v>5351684.67</v>
      </c>
      <c r="P4">
        <v>0</v>
      </c>
      <c r="Q4">
        <v>5351684.67</v>
      </c>
      <c r="R4" s="11">
        <v>0</v>
      </c>
      <c r="S4" s="12">
        <v>5351684.67</v>
      </c>
      <c r="T4">
        <v>0</v>
      </c>
      <c r="U4">
        <v>5351684.67</v>
      </c>
      <c r="V4" s="11">
        <v>0</v>
      </c>
      <c r="W4" s="12">
        <v>5351684.67</v>
      </c>
      <c r="X4">
        <v>0</v>
      </c>
      <c r="Y4">
        <v>5351684.67</v>
      </c>
      <c r="Z4" s="11">
        <v>0</v>
      </c>
      <c r="AA4" s="12">
        <v>5351684.67</v>
      </c>
      <c r="AB4">
        <v>0</v>
      </c>
      <c r="AC4">
        <v>5351684.67</v>
      </c>
      <c r="AD4" s="11">
        <v>0</v>
      </c>
      <c r="AE4" s="12">
        <v>5351684.67</v>
      </c>
      <c r="AF4">
        <v>0</v>
      </c>
      <c r="AG4">
        <v>5351684.67</v>
      </c>
      <c r="AH4" s="11">
        <v>0</v>
      </c>
    </row>
    <row r="5" spans="1:35" x14ac:dyDescent="0.3">
      <c r="A5" s="13">
        <v>2</v>
      </c>
      <c r="B5" s="11">
        <v>5351650.33</v>
      </c>
      <c r="C5" s="12">
        <f>(($E$2*B5)+((1-$E$2)*(C4+D4)))</f>
        <v>5351667.5</v>
      </c>
      <c r="D5">
        <f>$F$2*(C5-C4)+(1-$F$2)*D4</f>
        <v>-8.5849999999627471</v>
      </c>
      <c r="E5">
        <f>C4+D4</f>
        <v>5351684.67</v>
      </c>
      <c r="F5" s="11">
        <f>B5-E5</f>
        <v>-34.339999999850988</v>
      </c>
      <c r="G5" s="12">
        <f>(($I$2*B5)+((1-$I$2)*(G4+H4)))</f>
        <v>5351674.3679999998</v>
      </c>
      <c r="H5">
        <f>$J$2*(G5-G4)+(1-$J$2)*H4</f>
        <v>-1.0302000000141562</v>
      </c>
      <c r="I5">
        <f>G4+H4</f>
        <v>5351684.67</v>
      </c>
      <c r="J5">
        <f>B5-I5</f>
        <v>-34.339999999850988</v>
      </c>
      <c r="K5" s="12">
        <f t="shared" ref="K5:K36" si="0">($M$2*B5)+(1-$M$2)*(K4+L4)</f>
        <v>5351660.6320000002</v>
      </c>
      <c r="L5">
        <f t="shared" ref="L5:L36" si="1">$N$2*(K5-K4)+(1-$N$2)*L4</f>
        <v>-6.0094999999273568</v>
      </c>
      <c r="M5">
        <f>K4+L4</f>
        <v>5351684.67</v>
      </c>
      <c r="N5" s="11">
        <f>B5-M5</f>
        <v>-34.339999999850988</v>
      </c>
      <c r="O5" s="12">
        <f t="shared" ref="O5:O36" si="2">($Q$2*B5)+(1-$Q$2)*(O4+P4)</f>
        <v>5351653.7640000004</v>
      </c>
      <c r="P5">
        <f t="shared" ref="P5:P36" si="3">$R$2*(O5-O4)+(1-$R$2)*P4</f>
        <v>-3.0905999999493363</v>
      </c>
      <c r="Q5">
        <f>O4+P4</f>
        <v>5351684.67</v>
      </c>
      <c r="R5" s="11">
        <f>B5-Q5</f>
        <v>-34.339999999850988</v>
      </c>
      <c r="S5" s="12">
        <f t="shared" ref="S5:S36" si="4">($U$2*B5)+(1-$U$2)*(S4+T4)</f>
        <v>5351657.1979999999</v>
      </c>
      <c r="T5">
        <f t="shared" ref="T5:T36" si="5">$V$2*(S5-S4)+(1-$V$2)*T4</f>
        <v>-8.2416000000201155</v>
      </c>
      <c r="U5">
        <f>S4+T4</f>
        <v>5351684.67</v>
      </c>
      <c r="V5" s="11">
        <f>B5-U5</f>
        <v>-34.339999999850988</v>
      </c>
      <c r="W5" s="12">
        <f t="shared" ref="W5:W36" si="6">($Y$2*B5)+(1-$Y$2)*(W4+X4)</f>
        <v>5351677.8020000011</v>
      </c>
      <c r="X5">
        <f t="shared" ref="X5:X36" si="7">$Z$2*(W5-W4)+(1-$Z$2)*X4</f>
        <v>-0.68679999988526108</v>
      </c>
      <c r="Y5">
        <f>W4+X4</f>
        <v>5351684.67</v>
      </c>
      <c r="Z5" s="11">
        <f>B5-Y5</f>
        <v>-34.339999999850988</v>
      </c>
      <c r="AA5" s="12">
        <f t="shared" ref="AA5:AA36" si="8">($AC$2*B5)+(1-$AC$2)*(AA4+AB4)</f>
        <v>5351670.9340000004</v>
      </c>
      <c r="AB5">
        <f t="shared" ref="AB5:AB36" si="9">$AD$2*(AA5-AA4)+(1-$AD$2)*AB4</f>
        <v>-9.6151999996975057</v>
      </c>
      <c r="AC5">
        <f>AA4+AB4</f>
        <v>5351684.67</v>
      </c>
      <c r="AD5" s="11">
        <f>B5-AC5</f>
        <v>-34.339999999850988</v>
      </c>
      <c r="AE5" s="12">
        <f t="shared" ref="AE5:AE36" si="10">($AG$2*B5)+(1-$AG$2)*(AE4+AF4)</f>
        <v>5351665.0962000005</v>
      </c>
      <c r="AF5">
        <f t="shared" ref="AF5:AF36" si="11">$AH$2*(AE5-AE4)+(1-$AH$2)*AF4</f>
        <v>-3.9147599998861553</v>
      </c>
      <c r="AG5">
        <f>AE4+AF4</f>
        <v>5351684.67</v>
      </c>
      <c r="AH5" s="11">
        <f>B5-AG5</f>
        <v>-34.339999999850988</v>
      </c>
    </row>
    <row r="6" spans="1:35" x14ac:dyDescent="0.3">
      <c r="A6" s="13">
        <v>3</v>
      </c>
      <c r="B6" s="11">
        <v>5395826.04</v>
      </c>
      <c r="C6" s="12">
        <f t="shared" ref="C6:C63" si="12">(($E$2*B6)+((1-$E$2)*(C5+D5)))</f>
        <v>5373742.4775</v>
      </c>
      <c r="D6">
        <f t="shared" ref="D6:D63" si="13">$F$2*(C6-C5)+(1-$F$2)*D5</f>
        <v>11033.196250000037</v>
      </c>
      <c r="E6">
        <f t="shared" ref="E6:E63" si="14">C5+D5</f>
        <v>5351658.915</v>
      </c>
      <c r="F6" s="11">
        <f t="shared" ref="F6:F63" si="15">B6-E6</f>
        <v>44167.125</v>
      </c>
      <c r="G6" s="12">
        <f t="shared" ref="G6:G63" si="16">(($I$2*B6)+((1-$I$2)*(G5+H5)))</f>
        <v>5364919.1484599989</v>
      </c>
      <c r="H6">
        <f t="shared" ref="H6:H63" si="17">$J$2*(G6-G5)+(1-$J$2)*H5</f>
        <v>1323.5508659998982</v>
      </c>
      <c r="I6">
        <f t="shared" ref="I6:I63" si="18">G5+H5</f>
        <v>5351673.3377999999</v>
      </c>
      <c r="J6">
        <f t="shared" ref="J6:J63" si="19">B6-I6</f>
        <v>44152.702200000174</v>
      </c>
      <c r="K6" s="12">
        <f t="shared" si="0"/>
        <v>5382574.6147499997</v>
      </c>
      <c r="L6">
        <f t="shared" si="1"/>
        <v>7723.9885624999297</v>
      </c>
      <c r="M6">
        <f t="shared" ref="M6:M63" si="20">K5+L5</f>
        <v>5351654.6225000005</v>
      </c>
      <c r="N6" s="11">
        <f t="shared" ref="N6:N63" si="21">B6-M6</f>
        <v>44171.417499999516</v>
      </c>
      <c r="O6" s="12">
        <f t="shared" si="2"/>
        <v>5391408.5033399994</v>
      </c>
      <c r="P6">
        <f t="shared" si="3"/>
        <v>3972.6923939999378</v>
      </c>
      <c r="Q6">
        <f t="shared" ref="Q6:Q63" si="22">O5+P5</f>
        <v>5351650.6734000007</v>
      </c>
      <c r="R6" s="11">
        <f t="shared" ref="R6:R63" si="23">B6-Q6</f>
        <v>44175.366599999368</v>
      </c>
      <c r="S6" s="12">
        <f t="shared" si="4"/>
        <v>5386990.6232799999</v>
      </c>
      <c r="T6">
        <f t="shared" si="5"/>
        <v>10594.258464000011</v>
      </c>
      <c r="U6">
        <f t="shared" ref="U6:U63" si="24">S5+T5</f>
        <v>5351648.9563999996</v>
      </c>
      <c r="V6" s="11">
        <f t="shared" ref="V6:V63" si="25">B6-U6</f>
        <v>44177.083600000478</v>
      </c>
      <c r="W6" s="12">
        <f t="shared" si="6"/>
        <v>5360506.9001600016</v>
      </c>
      <c r="X6">
        <f t="shared" si="7"/>
        <v>882.29169600015507</v>
      </c>
      <c r="Y6">
        <f t="shared" ref="Y6:Y63" si="26">W5+X5</f>
        <v>5351677.1152000008</v>
      </c>
      <c r="Z6" s="11">
        <f t="shared" ref="Z6:Z63" si="27">B6-Y6</f>
        <v>44148.924799999222</v>
      </c>
      <c r="AA6" s="12">
        <f t="shared" si="8"/>
        <v>5369327.2072800007</v>
      </c>
      <c r="AB6">
        <f t="shared" si="9"/>
        <v>12356.50673600031</v>
      </c>
      <c r="AC6">
        <f t="shared" ref="AC6:AC63" si="28">AA5+AB5</f>
        <v>5351661.3188000005</v>
      </c>
      <c r="AD6" s="11">
        <f t="shared" ref="AD6:AD63" si="29">B6-AC6</f>
        <v>44164.721199999563</v>
      </c>
      <c r="AE6" s="12">
        <f t="shared" si="10"/>
        <v>5376835.1508192001</v>
      </c>
      <c r="AF6">
        <f t="shared" si="11"/>
        <v>5030.8791158400109</v>
      </c>
      <c r="AG6">
        <f t="shared" ref="AG6:AG63" si="30">AE5+AF5</f>
        <v>5351661.1814400004</v>
      </c>
      <c r="AH6" s="11">
        <f t="shared" ref="AH6:AH63" si="31">B6-AG6</f>
        <v>44164.858559999615</v>
      </c>
    </row>
    <row r="7" spans="1:35" x14ac:dyDescent="0.3">
      <c r="A7" s="13">
        <v>4</v>
      </c>
      <c r="B7" s="11">
        <v>5409088.8099999996</v>
      </c>
      <c r="C7" s="12">
        <f t="shared" si="12"/>
        <v>5396932.2418750003</v>
      </c>
      <c r="D7">
        <f t="shared" si="13"/>
        <v>17111.480312500149</v>
      </c>
      <c r="E7">
        <f t="shared" si="14"/>
        <v>5384775.6737500001</v>
      </c>
      <c r="F7" s="11">
        <f t="shared" si="15"/>
        <v>24313.136249999516</v>
      </c>
      <c r="G7" s="12">
        <f t="shared" si="16"/>
        <v>5379096.5325281993</v>
      </c>
      <c r="H7">
        <f t="shared" si="17"/>
        <v>2608.9341862199449</v>
      </c>
      <c r="I7">
        <f t="shared" si="18"/>
        <v>5366242.6993259992</v>
      </c>
      <c r="J7">
        <f t="shared" si="19"/>
        <v>42846.110674000345</v>
      </c>
      <c r="K7" s="12">
        <f t="shared" si="0"/>
        <v>5403451.7479937496</v>
      </c>
      <c r="L7">
        <f t="shared" si="1"/>
        <v>11012.27473281241</v>
      </c>
      <c r="M7">
        <f t="shared" si="20"/>
        <v>5390298.6033124998</v>
      </c>
      <c r="N7" s="11">
        <f t="shared" si="21"/>
        <v>18790.206687499769</v>
      </c>
      <c r="O7" s="12">
        <f t="shared" si="2"/>
        <v>5407718.048573399</v>
      </c>
      <c r="P7">
        <f t="shared" si="3"/>
        <v>5206.377677939905</v>
      </c>
      <c r="Q7">
        <f t="shared" si="22"/>
        <v>5395381.1957339989</v>
      </c>
      <c r="R7" s="11">
        <f t="shared" si="23"/>
        <v>13707.614266000688</v>
      </c>
      <c r="S7" s="12">
        <f t="shared" si="4"/>
        <v>5406788.0243487991</v>
      </c>
      <c r="T7">
        <f t="shared" si="5"/>
        <v>13355.201245439766</v>
      </c>
      <c r="U7">
        <f t="shared" si="24"/>
        <v>5397584.8817440001</v>
      </c>
      <c r="V7" s="11">
        <f t="shared" si="25"/>
        <v>11503.928255999461</v>
      </c>
      <c r="W7" s="12">
        <f t="shared" si="6"/>
        <v>5370929.1154848011</v>
      </c>
      <c r="X7">
        <f t="shared" si="7"/>
        <v>1836.2840588800927</v>
      </c>
      <c r="Y7">
        <f t="shared" si="26"/>
        <v>5361389.1918560015</v>
      </c>
      <c r="Z7" s="11">
        <f t="shared" si="27"/>
        <v>47699.618143998086</v>
      </c>
      <c r="AA7" s="12">
        <f t="shared" si="8"/>
        <v>5392645.7524095997</v>
      </c>
      <c r="AB7">
        <f t="shared" si="9"/>
        <v>20029.933611519427</v>
      </c>
      <c r="AC7">
        <f t="shared" si="28"/>
        <v>5381683.7140160007</v>
      </c>
      <c r="AD7" s="11">
        <f t="shared" si="29"/>
        <v>27405.09598399885</v>
      </c>
      <c r="AE7" s="12">
        <f t="shared" si="10"/>
        <v>5397383.0145720672</v>
      </c>
      <c r="AF7">
        <f t="shared" si="11"/>
        <v>8134.2760432454288</v>
      </c>
      <c r="AG7">
        <f t="shared" si="30"/>
        <v>5381866.0299350405</v>
      </c>
      <c r="AH7" s="11">
        <f t="shared" si="31"/>
        <v>27222.780064959079</v>
      </c>
    </row>
    <row r="8" spans="1:35" x14ac:dyDescent="0.3">
      <c r="A8" s="13">
        <v>5</v>
      </c>
      <c r="B8" s="11">
        <v>5435082.9299999997</v>
      </c>
      <c r="C8" s="12">
        <f t="shared" si="12"/>
        <v>5424563.3260937501</v>
      </c>
      <c r="D8">
        <f t="shared" si="13"/>
        <v>22371.282265624963</v>
      </c>
      <c r="E8">
        <f t="shared" si="14"/>
        <v>5414043.7221875004</v>
      </c>
      <c r="F8" s="11">
        <f t="shared" si="15"/>
        <v>21039.207812499255</v>
      </c>
      <c r="G8" s="12">
        <f t="shared" si="16"/>
        <v>5397718.7057000929</v>
      </c>
      <c r="H8">
        <f t="shared" si="17"/>
        <v>4210.2580847873196</v>
      </c>
      <c r="I8">
        <f t="shared" si="18"/>
        <v>5381705.4667144194</v>
      </c>
      <c r="J8">
        <f t="shared" si="19"/>
        <v>53377.463285580277</v>
      </c>
      <c r="K8" s="12">
        <f t="shared" si="0"/>
        <v>5428897.2578179687</v>
      </c>
      <c r="L8">
        <f t="shared" si="1"/>
        <v>14620.583505664097</v>
      </c>
      <c r="M8">
        <f t="shared" si="20"/>
        <v>5414464.0227265619</v>
      </c>
      <c r="N8" s="11">
        <f t="shared" si="21"/>
        <v>20618.907273437828</v>
      </c>
      <c r="O8" s="12">
        <f t="shared" si="2"/>
        <v>5432867.0796251334</v>
      </c>
      <c r="P8">
        <f t="shared" si="3"/>
        <v>7200.6430153193614</v>
      </c>
      <c r="Q8">
        <f t="shared" si="22"/>
        <v>5412924.4262513388</v>
      </c>
      <c r="R8" s="11">
        <f t="shared" si="23"/>
        <v>22158.503748660907</v>
      </c>
      <c r="S8" s="12">
        <f t="shared" si="4"/>
        <v>5432094.9891188471</v>
      </c>
      <c r="T8">
        <f t="shared" si="5"/>
        <v>16940.730302822216</v>
      </c>
      <c r="U8">
        <f t="shared" si="24"/>
        <v>5420143.2255942393</v>
      </c>
      <c r="V8" s="11">
        <f t="shared" si="25"/>
        <v>14939.704405760393</v>
      </c>
      <c r="W8" s="12">
        <f t="shared" si="6"/>
        <v>5385228.9056349453</v>
      </c>
      <c r="X8">
        <f t="shared" si="7"/>
        <v>3082.6346680064971</v>
      </c>
      <c r="Y8">
        <f t="shared" si="26"/>
        <v>5372765.3995436812</v>
      </c>
      <c r="Z8" s="11">
        <f t="shared" si="27"/>
        <v>62317.53045631852</v>
      </c>
      <c r="AA8" s="12">
        <f t="shared" si="8"/>
        <v>5421638.5836126711</v>
      </c>
      <c r="AB8">
        <f t="shared" si="9"/>
        <v>26303.96192560581</v>
      </c>
      <c r="AC8">
        <f t="shared" si="28"/>
        <v>5412675.6860211194</v>
      </c>
      <c r="AD8" s="11">
        <f t="shared" si="29"/>
        <v>22407.243978880346</v>
      </c>
      <c r="AE8" s="12">
        <f t="shared" si="10"/>
        <v>5422369.7050645836</v>
      </c>
      <c r="AF8">
        <f t="shared" si="11"/>
        <v>11504.75893309962</v>
      </c>
      <c r="AG8">
        <f t="shared" si="30"/>
        <v>5405517.2906153128</v>
      </c>
      <c r="AH8" s="11">
        <f t="shared" si="31"/>
        <v>29565.639384686947</v>
      </c>
    </row>
    <row r="9" spans="1:35" x14ac:dyDescent="0.3">
      <c r="A9" s="13">
        <v>6</v>
      </c>
      <c r="B9" s="11">
        <v>5534149.8300000001</v>
      </c>
      <c r="C9" s="12">
        <f t="shared" si="12"/>
        <v>5490542.219179688</v>
      </c>
      <c r="D9">
        <f t="shared" si="13"/>
        <v>44175.087675781455</v>
      </c>
      <c r="E9">
        <f t="shared" si="14"/>
        <v>5446934.608359375</v>
      </c>
      <c r="F9" s="11">
        <f t="shared" si="15"/>
        <v>87215.221640625037</v>
      </c>
      <c r="G9" s="12">
        <f t="shared" si="16"/>
        <v>5441595.2236494161</v>
      </c>
      <c r="H9">
        <f t="shared" si="17"/>
        <v>8176.8840712409046</v>
      </c>
      <c r="I9">
        <f t="shared" si="18"/>
        <v>5401928.96378488</v>
      </c>
      <c r="J9">
        <f t="shared" si="19"/>
        <v>132220.86621512007</v>
      </c>
      <c r="K9" s="12">
        <f t="shared" si="0"/>
        <v>5506960.2333970899</v>
      </c>
      <c r="L9">
        <f t="shared" si="1"/>
        <v>30481.181524028361</v>
      </c>
      <c r="M9">
        <f t="shared" si="20"/>
        <v>5443517.8413236327</v>
      </c>
      <c r="N9" s="11">
        <f t="shared" si="21"/>
        <v>90631.988676367328</v>
      </c>
      <c r="O9" s="12">
        <f t="shared" si="2"/>
        <v>5524741.6192640457</v>
      </c>
      <c r="P9">
        <f t="shared" si="3"/>
        <v>15668.032677678657</v>
      </c>
      <c r="Q9">
        <f t="shared" si="22"/>
        <v>5440067.7226404529</v>
      </c>
      <c r="R9" s="11">
        <f t="shared" si="23"/>
        <v>94082.107359547168</v>
      </c>
      <c r="S9" s="12">
        <f t="shared" si="4"/>
        <v>5517127.0078843338</v>
      </c>
      <c r="T9">
        <f t="shared" si="5"/>
        <v>37368.116841621581</v>
      </c>
      <c r="U9">
        <f t="shared" si="24"/>
        <v>5449035.7194216689</v>
      </c>
      <c r="V9" s="11">
        <f t="shared" si="25"/>
        <v>85114.110578331165</v>
      </c>
      <c r="W9" s="12">
        <f t="shared" si="6"/>
        <v>5417479.1982423617</v>
      </c>
      <c r="X9">
        <f t="shared" si="7"/>
        <v>5999.4004619474872</v>
      </c>
      <c r="Y9">
        <f t="shared" si="26"/>
        <v>5388311.5403029518</v>
      </c>
      <c r="Z9" s="11">
        <f t="shared" si="27"/>
        <v>145838.28969704825</v>
      </c>
      <c r="AA9" s="12">
        <f t="shared" si="8"/>
        <v>5482425.4593229666</v>
      </c>
      <c r="AB9">
        <f t="shared" si="9"/>
        <v>50442.0015748886</v>
      </c>
      <c r="AC9">
        <f t="shared" si="28"/>
        <v>5447942.5455382774</v>
      </c>
      <c r="AD9" s="11">
        <f t="shared" si="29"/>
        <v>86207.284461722709</v>
      </c>
      <c r="AE9" s="12">
        <f t="shared" si="10"/>
        <v>5491031.4226190038</v>
      </c>
      <c r="AF9">
        <f t="shared" si="11"/>
        <v>22936.150657363745</v>
      </c>
      <c r="AG9">
        <f t="shared" si="30"/>
        <v>5433874.4639976835</v>
      </c>
      <c r="AH9" s="11">
        <f t="shared" si="31"/>
        <v>100275.36600231659</v>
      </c>
    </row>
    <row r="10" spans="1:35" x14ac:dyDescent="0.3">
      <c r="A10" s="13">
        <v>7</v>
      </c>
      <c r="B10" s="11">
        <v>5507791.75</v>
      </c>
      <c r="C10" s="12">
        <f t="shared" si="12"/>
        <v>5521254.528427735</v>
      </c>
      <c r="D10">
        <f t="shared" si="13"/>
        <v>37443.698461914202</v>
      </c>
      <c r="E10">
        <f t="shared" si="14"/>
        <v>5534717.3068554699</v>
      </c>
      <c r="F10" s="11">
        <f t="shared" si="15"/>
        <v>-26925.556855469942</v>
      </c>
      <c r="G10" s="12">
        <f t="shared" si="16"/>
        <v>5467178.0004044604</v>
      </c>
      <c r="H10">
        <f t="shared" si="17"/>
        <v>9917.4733396212378</v>
      </c>
      <c r="I10">
        <f t="shared" si="18"/>
        <v>5449772.1077206573</v>
      </c>
      <c r="J10">
        <f t="shared" si="19"/>
        <v>58019.642279342748</v>
      </c>
      <c r="K10" s="12">
        <f t="shared" si="0"/>
        <v>5516686.6494763354</v>
      </c>
      <c r="L10">
        <f t="shared" si="1"/>
        <v>25292.490162832648</v>
      </c>
      <c r="M10">
        <f t="shared" si="20"/>
        <v>5537441.4149211179</v>
      </c>
      <c r="N10" s="11">
        <f t="shared" si="21"/>
        <v>-29649.664921117947</v>
      </c>
      <c r="O10" s="12">
        <f t="shared" si="2"/>
        <v>5511053.5401941724</v>
      </c>
      <c r="P10">
        <f t="shared" si="3"/>
        <v>12732.421502923458</v>
      </c>
      <c r="Q10">
        <f t="shared" si="22"/>
        <v>5540409.6519417241</v>
      </c>
      <c r="R10" s="11">
        <f t="shared" si="23"/>
        <v>-32617.901941724122</v>
      </c>
      <c r="S10" s="12">
        <f t="shared" si="4"/>
        <v>5517132.4249451915</v>
      </c>
      <c r="T10">
        <f t="shared" si="5"/>
        <v>26159.306907392398</v>
      </c>
      <c r="U10">
        <f t="shared" si="24"/>
        <v>5554495.1247259555</v>
      </c>
      <c r="V10" s="11">
        <f t="shared" si="25"/>
        <v>-46703.374725955538</v>
      </c>
      <c r="W10" s="12">
        <f t="shared" si="6"/>
        <v>5440341.2289634477</v>
      </c>
      <c r="X10">
        <f t="shared" si="7"/>
        <v>7685.6634878613459</v>
      </c>
      <c r="Y10">
        <f t="shared" si="26"/>
        <v>5423478.5987043092</v>
      </c>
      <c r="Z10" s="11">
        <f t="shared" si="27"/>
        <v>84313.151295690797</v>
      </c>
      <c r="AA10" s="12">
        <f t="shared" si="8"/>
        <v>5522837.1765387133</v>
      </c>
      <c r="AB10">
        <f t="shared" si="9"/>
        <v>43420.802523489227</v>
      </c>
      <c r="AC10">
        <f t="shared" si="28"/>
        <v>5532867.4608978555</v>
      </c>
      <c r="AD10" s="11">
        <f t="shared" si="29"/>
        <v>-25075.710897855461</v>
      </c>
      <c r="AE10" s="12">
        <f t="shared" si="10"/>
        <v>5510447.3540088385</v>
      </c>
      <c r="AF10">
        <f t="shared" si="11"/>
        <v>22232.106803857943</v>
      </c>
      <c r="AG10">
        <f t="shared" si="30"/>
        <v>5513967.573276368</v>
      </c>
      <c r="AH10" s="11">
        <f t="shared" si="31"/>
        <v>-6175.8232763679698</v>
      </c>
    </row>
    <row r="11" spans="1:35" x14ac:dyDescent="0.3">
      <c r="A11" s="13">
        <v>8</v>
      </c>
      <c r="B11" s="11">
        <v>5529451.8099999996</v>
      </c>
      <c r="C11" s="12">
        <f t="shared" si="12"/>
        <v>5544075.018444825</v>
      </c>
      <c r="D11">
        <f t="shared" si="13"/>
        <v>30132.094239502097</v>
      </c>
      <c r="E11">
        <f t="shared" si="14"/>
        <v>5558698.2268896494</v>
      </c>
      <c r="F11" s="11">
        <f t="shared" si="15"/>
        <v>-29246.416889649816</v>
      </c>
      <c r="G11" s="12">
        <f t="shared" si="16"/>
        <v>5492802.3746208567</v>
      </c>
      <c r="H11">
        <f t="shared" si="17"/>
        <v>11488.16342729875</v>
      </c>
      <c r="I11">
        <f t="shared" si="18"/>
        <v>5477095.4737440813</v>
      </c>
      <c r="J11">
        <f t="shared" si="19"/>
        <v>52356.336255918257</v>
      </c>
      <c r="K11" s="12">
        <f t="shared" si="0"/>
        <v>5533210.0088917501</v>
      </c>
      <c r="L11">
        <f t="shared" si="1"/>
        <v>23100.207475978172</v>
      </c>
      <c r="M11">
        <f t="shared" si="20"/>
        <v>5541979.139639168</v>
      </c>
      <c r="N11" s="11">
        <f t="shared" si="21"/>
        <v>-12527.329639168456</v>
      </c>
      <c r="O11" s="12">
        <f t="shared" si="2"/>
        <v>5528885.225169709</v>
      </c>
      <c r="P11">
        <f t="shared" si="3"/>
        <v>13242.347850184766</v>
      </c>
      <c r="Q11">
        <f t="shared" si="22"/>
        <v>5523785.961697096</v>
      </c>
      <c r="R11" s="11">
        <f t="shared" si="23"/>
        <v>5665.8483029035851</v>
      </c>
      <c r="S11" s="12">
        <f t="shared" si="4"/>
        <v>5532219.7943705162</v>
      </c>
      <c r="T11">
        <f t="shared" si="5"/>
        <v>22837.725662772093</v>
      </c>
      <c r="U11">
        <f t="shared" si="24"/>
        <v>5543291.7318525836</v>
      </c>
      <c r="V11" s="11">
        <f t="shared" si="25"/>
        <v>-13839.921852583997</v>
      </c>
      <c r="W11" s="12">
        <f t="shared" si="6"/>
        <v>5464311.8759610467</v>
      </c>
      <c r="X11">
        <f t="shared" si="7"/>
        <v>9314.1618388351053</v>
      </c>
      <c r="Y11">
        <f t="shared" si="26"/>
        <v>5448026.8924513087</v>
      </c>
      <c r="Z11" s="11">
        <f t="shared" si="27"/>
        <v>81424.917548690923</v>
      </c>
      <c r="AA11" s="12">
        <f t="shared" si="8"/>
        <v>5551535.5114373211</v>
      </c>
      <c r="AB11">
        <f t="shared" si="9"/>
        <v>33115.07518607223</v>
      </c>
      <c r="AC11">
        <f t="shared" si="28"/>
        <v>5566257.9790622024</v>
      </c>
      <c r="AD11" s="11">
        <f t="shared" si="29"/>
        <v>-36806.169062202796</v>
      </c>
      <c r="AE11" s="12">
        <f t="shared" si="10"/>
        <v>5530839.6998494593</v>
      </c>
      <c r="AF11">
        <f t="shared" si="11"/>
        <v>21864.154611210521</v>
      </c>
      <c r="AG11">
        <f t="shared" si="30"/>
        <v>5532679.4608126963</v>
      </c>
      <c r="AH11" s="11">
        <f t="shared" si="31"/>
        <v>-3227.6508126966655</v>
      </c>
    </row>
    <row r="12" spans="1:35" x14ac:dyDescent="0.3">
      <c r="A12" s="13">
        <v>9</v>
      </c>
      <c r="B12" s="11">
        <v>5606779.8899999997</v>
      </c>
      <c r="C12" s="12">
        <f t="shared" si="12"/>
        <v>5590493.5013421634</v>
      </c>
      <c r="D12">
        <f t="shared" si="13"/>
        <v>38275.288568420277</v>
      </c>
      <c r="E12">
        <f t="shared" si="14"/>
        <v>5574207.1126843272</v>
      </c>
      <c r="F12" s="11">
        <f t="shared" si="15"/>
        <v>32572.777315672487</v>
      </c>
      <c r="G12" s="12">
        <f t="shared" si="16"/>
        <v>5535037.3436337085</v>
      </c>
      <c r="H12">
        <f t="shared" si="17"/>
        <v>14562.843985854059</v>
      </c>
      <c r="I12">
        <f t="shared" si="18"/>
        <v>5504290.5380481556</v>
      </c>
      <c r="J12">
        <f t="shared" si="19"/>
        <v>102489.35195184406</v>
      </c>
      <c r="K12" s="12">
        <f t="shared" si="0"/>
        <v>5591638.9879103182</v>
      </c>
      <c r="L12">
        <f t="shared" si="1"/>
        <v>31932.400361625645</v>
      </c>
      <c r="M12">
        <f t="shared" si="20"/>
        <v>5556310.2163677281</v>
      </c>
      <c r="N12" s="11">
        <f t="shared" si="21"/>
        <v>50469.673632271588</v>
      </c>
      <c r="O12" s="12">
        <f t="shared" si="2"/>
        <v>5600314.6583019886</v>
      </c>
      <c r="P12">
        <f t="shared" si="3"/>
        <v>19061.056378394256</v>
      </c>
      <c r="Q12">
        <f t="shared" si="22"/>
        <v>5542127.5730198938</v>
      </c>
      <c r="R12" s="11">
        <f t="shared" si="23"/>
        <v>64652.316980105825</v>
      </c>
      <c r="S12" s="12">
        <f t="shared" si="4"/>
        <v>5596435.4160066573</v>
      </c>
      <c r="T12">
        <f t="shared" si="5"/>
        <v>35251.094454782789</v>
      </c>
      <c r="U12">
        <f t="shared" si="24"/>
        <v>5555057.5200332887</v>
      </c>
      <c r="V12" s="11">
        <f t="shared" si="25"/>
        <v>51722.369966710918</v>
      </c>
      <c r="W12" s="12">
        <f t="shared" si="6"/>
        <v>5500256.8082399061</v>
      </c>
      <c r="X12">
        <f t="shared" si="7"/>
        <v>11977.238882837539</v>
      </c>
      <c r="Y12">
        <f t="shared" si="26"/>
        <v>5473626.0377998818</v>
      </c>
      <c r="Z12" s="11">
        <f t="shared" si="27"/>
        <v>133153.85220011789</v>
      </c>
      <c r="AA12" s="12">
        <f t="shared" si="8"/>
        <v>5593502.3079740349</v>
      </c>
      <c r="AB12">
        <f t="shared" si="9"/>
        <v>39311.280131521358</v>
      </c>
      <c r="AC12">
        <f t="shared" si="28"/>
        <v>5584650.586623393</v>
      </c>
      <c r="AD12" s="11">
        <f t="shared" si="29"/>
        <v>22129.303376606666</v>
      </c>
      <c r="AE12" s="12">
        <f t="shared" si="10"/>
        <v>5583527.1947180871</v>
      </c>
      <c r="AF12">
        <f t="shared" si="11"/>
        <v>28028.822662693965</v>
      </c>
      <c r="AG12">
        <f t="shared" si="30"/>
        <v>5552703.8544606697</v>
      </c>
      <c r="AH12" s="11">
        <f t="shared" si="31"/>
        <v>54076.035539329983</v>
      </c>
    </row>
    <row r="13" spans="1:35" x14ac:dyDescent="0.3">
      <c r="A13" s="13">
        <v>10</v>
      </c>
      <c r="B13" s="11">
        <v>5667512.0999999996</v>
      </c>
      <c r="C13" s="12">
        <f t="shared" si="12"/>
        <v>5648140.4449552912</v>
      </c>
      <c r="D13">
        <f t="shared" si="13"/>
        <v>47961.116090774041</v>
      </c>
      <c r="E13">
        <f t="shared" si="14"/>
        <v>5628768.7899105838</v>
      </c>
      <c r="F13" s="11">
        <f t="shared" si="15"/>
        <v>38743.310089415871</v>
      </c>
      <c r="G13" s="12">
        <f t="shared" si="16"/>
        <v>5584973.7613336928</v>
      </c>
      <c r="H13">
        <f t="shared" si="17"/>
        <v>18100.20135726708</v>
      </c>
      <c r="I13">
        <f t="shared" si="18"/>
        <v>5549600.1876195623</v>
      </c>
      <c r="J13">
        <f t="shared" si="19"/>
        <v>117911.91238043737</v>
      </c>
      <c r="K13" s="12">
        <f t="shared" si="0"/>
        <v>5654329.8864815831</v>
      </c>
      <c r="L13">
        <f t="shared" si="1"/>
        <v>39622.024914035464</v>
      </c>
      <c r="M13">
        <f t="shared" si="20"/>
        <v>5623571.3882719437</v>
      </c>
      <c r="N13" s="11">
        <f t="shared" si="21"/>
        <v>43940.711728055961</v>
      </c>
      <c r="O13" s="12">
        <f t="shared" si="2"/>
        <v>5662698.4614680381</v>
      </c>
      <c r="P13">
        <f t="shared" si="3"/>
        <v>23393.331057159787</v>
      </c>
      <c r="Q13">
        <f t="shared" si="22"/>
        <v>5619375.714680383</v>
      </c>
      <c r="R13" s="11">
        <f t="shared" si="23"/>
        <v>48136.385319616646</v>
      </c>
      <c r="S13" s="12">
        <f t="shared" si="4"/>
        <v>5660346.9820922874</v>
      </c>
      <c r="T13">
        <f t="shared" si="5"/>
        <v>43849.235944036976</v>
      </c>
      <c r="U13">
        <f t="shared" si="24"/>
        <v>5631686.5104614403</v>
      </c>
      <c r="V13" s="11">
        <f t="shared" si="25"/>
        <v>35825.589538559318</v>
      </c>
      <c r="W13" s="12">
        <f t="shared" si="6"/>
        <v>5543289.6576981954</v>
      </c>
      <c r="X13">
        <f t="shared" si="7"/>
        <v>15082.79994038272</v>
      </c>
      <c r="Y13">
        <f t="shared" si="26"/>
        <v>5512234.0471227439</v>
      </c>
      <c r="Z13" s="11">
        <f t="shared" si="27"/>
        <v>155278.05287725572</v>
      </c>
      <c r="AA13" s="12">
        <f t="shared" si="8"/>
        <v>5646692.9928633338</v>
      </c>
      <c r="AB13">
        <f t="shared" si="9"/>
        <v>49026.863461965615</v>
      </c>
      <c r="AC13">
        <f t="shared" si="28"/>
        <v>5632813.5881055566</v>
      </c>
      <c r="AD13" s="11">
        <f t="shared" si="29"/>
        <v>34698.511894443072</v>
      </c>
      <c r="AE13" s="12">
        <f t="shared" si="10"/>
        <v>5643450.9844737351</v>
      </c>
      <c r="AF13">
        <f t="shared" si="11"/>
        <v>34407.816081284771</v>
      </c>
      <c r="AG13">
        <f t="shared" si="30"/>
        <v>5611556.0173807815</v>
      </c>
      <c r="AH13" s="11">
        <f t="shared" si="31"/>
        <v>55956.082619218156</v>
      </c>
    </row>
    <row r="14" spans="1:35" x14ac:dyDescent="0.3">
      <c r="A14" s="13">
        <v>11</v>
      </c>
      <c r="B14" s="11">
        <v>5670975.2400000002</v>
      </c>
      <c r="C14" s="12">
        <f t="shared" si="12"/>
        <v>5683538.400523033</v>
      </c>
      <c r="D14">
        <f t="shared" si="13"/>
        <v>41679.535829257904</v>
      </c>
      <c r="E14">
        <f t="shared" si="14"/>
        <v>5696101.5610460648</v>
      </c>
      <c r="F14" s="11">
        <f t="shared" si="15"/>
        <v>-25126.321046064608</v>
      </c>
      <c r="G14" s="12">
        <f t="shared" si="16"/>
        <v>5623444.3458836712</v>
      </c>
      <c r="H14">
        <f t="shared" si="17"/>
        <v>20137.239676538211</v>
      </c>
      <c r="I14">
        <f t="shared" si="18"/>
        <v>5603073.9626909597</v>
      </c>
      <c r="J14">
        <f t="shared" si="19"/>
        <v>67901.277309040539</v>
      </c>
      <c r="K14" s="12">
        <f t="shared" si="0"/>
        <v>5677868.2414186858</v>
      </c>
      <c r="L14">
        <f t="shared" si="1"/>
        <v>35601.107419802262</v>
      </c>
      <c r="M14">
        <f t="shared" si="20"/>
        <v>5693951.9113956187</v>
      </c>
      <c r="N14" s="11">
        <f t="shared" si="21"/>
        <v>-22976.671395618469</v>
      </c>
      <c r="O14" s="12">
        <f t="shared" si="2"/>
        <v>5672486.8952525202</v>
      </c>
      <c r="P14">
        <f t="shared" si="3"/>
        <v>22032.841329892017</v>
      </c>
      <c r="Q14">
        <f t="shared" si="22"/>
        <v>5686091.7925251983</v>
      </c>
      <c r="R14" s="11">
        <f t="shared" si="23"/>
        <v>-15116.552525198087</v>
      </c>
      <c r="S14" s="12">
        <f t="shared" si="4"/>
        <v>5677619.4356072657</v>
      </c>
      <c r="T14">
        <f t="shared" si="5"/>
        <v>35876.201215319372</v>
      </c>
      <c r="U14">
        <f t="shared" si="24"/>
        <v>5704196.2180363247</v>
      </c>
      <c r="V14" s="11">
        <f t="shared" si="25"/>
        <v>-33220.978036324494</v>
      </c>
      <c r="W14" s="12">
        <f t="shared" si="6"/>
        <v>5580893.0141108632</v>
      </c>
      <c r="X14">
        <f t="shared" si="7"/>
        <v>17334.855587611226</v>
      </c>
      <c r="Y14">
        <f t="shared" si="26"/>
        <v>5558372.4576385785</v>
      </c>
      <c r="Z14" s="11">
        <f t="shared" si="27"/>
        <v>112602.78236142173</v>
      </c>
      <c r="AA14" s="12">
        <f t="shared" si="8"/>
        <v>5685822.0097951796</v>
      </c>
      <c r="AB14">
        <f t="shared" si="9"/>
        <v>42098.37089088175</v>
      </c>
      <c r="AC14">
        <f t="shared" si="28"/>
        <v>5695719.8563252995</v>
      </c>
      <c r="AD14" s="11">
        <f t="shared" si="29"/>
        <v>-24744.616325299256</v>
      </c>
      <c r="AE14" s="12">
        <f t="shared" si="10"/>
        <v>5673935.1710386593</v>
      </c>
      <c r="AF14">
        <f t="shared" si="11"/>
        <v>33623.090178012659</v>
      </c>
      <c r="AG14">
        <f t="shared" si="30"/>
        <v>5677858.8005550196</v>
      </c>
      <c r="AH14" s="11">
        <f t="shared" si="31"/>
        <v>-6883.5605550194159</v>
      </c>
    </row>
    <row r="15" spans="1:35" x14ac:dyDescent="0.3">
      <c r="A15" s="13">
        <v>12</v>
      </c>
      <c r="B15" s="11">
        <v>5760046.2000000002</v>
      </c>
      <c r="C15" s="12">
        <f t="shared" si="12"/>
        <v>5742632.0681761457</v>
      </c>
      <c r="D15">
        <f t="shared" si="13"/>
        <v>50386.601741185288</v>
      </c>
      <c r="E15">
        <f t="shared" si="14"/>
        <v>5725217.9363522911</v>
      </c>
      <c r="F15" s="11">
        <f t="shared" si="15"/>
        <v>34828.263647709042</v>
      </c>
      <c r="G15" s="12">
        <f t="shared" si="16"/>
        <v>5678520.9698921461</v>
      </c>
      <c r="H15">
        <f t="shared" si="17"/>
        <v>23631.178109731878</v>
      </c>
      <c r="I15">
        <f t="shared" si="18"/>
        <v>5643581.5855602091</v>
      </c>
      <c r="J15">
        <f t="shared" si="19"/>
        <v>116464.61443979107</v>
      </c>
      <c r="K15" s="12">
        <f t="shared" si="0"/>
        <v>5746073.1446515461</v>
      </c>
      <c r="L15">
        <f t="shared" si="1"/>
        <v>43752.056373066793</v>
      </c>
      <c r="M15">
        <f t="shared" si="20"/>
        <v>5713469.3488384876</v>
      </c>
      <c r="N15" s="11">
        <f t="shared" si="21"/>
        <v>46576.851161512546</v>
      </c>
      <c r="O15" s="12">
        <f t="shared" si="2"/>
        <v>5753493.5536582414</v>
      </c>
      <c r="P15">
        <f t="shared" si="3"/>
        <v>27930.223037474934</v>
      </c>
      <c r="Q15">
        <f t="shared" si="22"/>
        <v>5694519.7365824124</v>
      </c>
      <c r="R15" s="11">
        <f t="shared" si="23"/>
        <v>65526.463417587802</v>
      </c>
      <c r="S15" s="12">
        <f t="shared" si="4"/>
        <v>5750736.0873645172</v>
      </c>
      <c r="T15">
        <f t="shared" si="5"/>
        <v>47048.336377899002</v>
      </c>
      <c r="U15">
        <f t="shared" si="24"/>
        <v>5713495.636822585</v>
      </c>
      <c r="V15" s="11">
        <f t="shared" si="25"/>
        <v>46550.56317741517</v>
      </c>
      <c r="W15" s="12">
        <f t="shared" si="6"/>
        <v>5630591.5357587794</v>
      </c>
      <c r="X15">
        <f t="shared" si="7"/>
        <v>20571.222193641723</v>
      </c>
      <c r="Y15">
        <f t="shared" si="26"/>
        <v>5598227.8696984742</v>
      </c>
      <c r="Z15" s="11">
        <f t="shared" si="27"/>
        <v>161818.330301526</v>
      </c>
      <c r="AA15" s="12">
        <f t="shared" si="8"/>
        <v>5740770.7084116368</v>
      </c>
      <c r="AB15">
        <f t="shared" si="9"/>
        <v>51093.600298784542</v>
      </c>
      <c r="AC15">
        <f t="shared" si="28"/>
        <v>5727920.3806860615</v>
      </c>
      <c r="AD15" s="11">
        <f t="shared" si="29"/>
        <v>32125.819313938729</v>
      </c>
      <c r="AE15" s="12">
        <f t="shared" si="10"/>
        <v>5737476.3863231689</v>
      </c>
      <c r="AF15">
        <f t="shared" si="11"/>
        <v>39606.71519931205</v>
      </c>
      <c r="AG15">
        <f t="shared" si="30"/>
        <v>5707558.2612166721</v>
      </c>
      <c r="AH15" s="11">
        <f t="shared" si="31"/>
        <v>52487.938783328049</v>
      </c>
    </row>
    <row r="16" spans="1:35" x14ac:dyDescent="0.3">
      <c r="A16" s="13">
        <v>13</v>
      </c>
      <c r="B16" s="11">
        <v>5644985</v>
      </c>
      <c r="C16" s="12">
        <f t="shared" si="12"/>
        <v>5719001.8349586651</v>
      </c>
      <c r="D16">
        <f t="shared" si="13"/>
        <v>13378.184261852348</v>
      </c>
      <c r="E16">
        <f t="shared" si="14"/>
        <v>5793018.6699173311</v>
      </c>
      <c r="F16" s="11">
        <f t="shared" si="15"/>
        <v>-148033.66991733108</v>
      </c>
      <c r="G16" s="12">
        <f t="shared" si="16"/>
        <v>5685002.0036013145</v>
      </c>
      <c r="H16">
        <f t="shared" si="17"/>
        <v>21916.163669675534</v>
      </c>
      <c r="I16">
        <f t="shared" si="18"/>
        <v>5702152.1480018776</v>
      </c>
      <c r="J16">
        <f t="shared" si="19"/>
        <v>-57167.148001877591</v>
      </c>
      <c r="K16" s="12">
        <f t="shared" si="0"/>
        <v>5688437.0603073835</v>
      </c>
      <c r="L16">
        <f t="shared" si="1"/>
        <v>18405.021193759443</v>
      </c>
      <c r="M16">
        <f t="shared" si="20"/>
        <v>5789825.2010246133</v>
      </c>
      <c r="N16" s="11">
        <f t="shared" si="21"/>
        <v>-144840.20102461334</v>
      </c>
      <c r="O16" s="12">
        <f t="shared" si="2"/>
        <v>5658628.877669571</v>
      </c>
      <c r="P16">
        <f t="shared" si="3"/>
        <v>15650.733134860397</v>
      </c>
      <c r="Q16">
        <f t="shared" si="22"/>
        <v>5781423.7766957162</v>
      </c>
      <c r="R16" s="11">
        <f t="shared" si="23"/>
        <v>-136438.77669571619</v>
      </c>
      <c r="S16" s="12">
        <f t="shared" si="4"/>
        <v>5675544.8847484831</v>
      </c>
      <c r="T16">
        <f t="shared" si="5"/>
        <v>10376.474679719078</v>
      </c>
      <c r="U16">
        <f t="shared" si="24"/>
        <v>5797784.4237424163</v>
      </c>
      <c r="V16" s="11">
        <f t="shared" si="25"/>
        <v>-152799.42374241631</v>
      </c>
      <c r="W16" s="12">
        <f t="shared" si="6"/>
        <v>5649927.2063619373</v>
      </c>
      <c r="X16">
        <f t="shared" si="7"/>
        <v>20447.667034593345</v>
      </c>
      <c r="Y16">
        <f t="shared" si="26"/>
        <v>5651162.757952421</v>
      </c>
      <c r="Z16" s="11">
        <f t="shared" si="27"/>
        <v>-6177.7579524209723</v>
      </c>
      <c r="AA16" s="12">
        <f t="shared" si="8"/>
        <v>5733112.5852262527</v>
      </c>
      <c r="AB16">
        <f t="shared" si="9"/>
        <v>9967.3938598665045</v>
      </c>
      <c r="AC16">
        <f t="shared" si="28"/>
        <v>5791864.3087104214</v>
      </c>
      <c r="AD16" s="11">
        <f t="shared" si="29"/>
        <v>-146879.30871042144</v>
      </c>
      <c r="AE16" s="12">
        <f t="shared" si="10"/>
        <v>5701787.1836546669</v>
      </c>
      <c r="AF16">
        <f t="shared" si="11"/>
        <v>24547.531625749241</v>
      </c>
      <c r="AG16">
        <f t="shared" si="30"/>
        <v>5777083.1015224811</v>
      </c>
      <c r="AH16" s="11">
        <f t="shared" si="31"/>
        <v>-132098.10152248107</v>
      </c>
    </row>
    <row r="17" spans="1:34" x14ac:dyDescent="0.3">
      <c r="A17" s="13">
        <v>14</v>
      </c>
      <c r="B17" s="11">
        <v>5670778</v>
      </c>
      <c r="C17" s="12">
        <f t="shared" si="12"/>
        <v>5701579.009610258</v>
      </c>
      <c r="D17">
        <f t="shared" si="13"/>
        <v>-2022.3205432773411</v>
      </c>
      <c r="E17">
        <f t="shared" si="14"/>
        <v>5732380.019220517</v>
      </c>
      <c r="F17" s="11">
        <f t="shared" si="15"/>
        <v>-61602.019220517017</v>
      </c>
      <c r="G17" s="12">
        <f t="shared" si="16"/>
        <v>5696076.1170896925</v>
      </c>
      <c r="H17">
        <f t="shared" si="17"/>
        <v>20831.958651545781</v>
      </c>
      <c r="I17">
        <f t="shared" si="18"/>
        <v>5706918.1672709901</v>
      </c>
      <c r="J17">
        <f t="shared" si="19"/>
        <v>-36140.167270990089</v>
      </c>
      <c r="K17" s="12">
        <f t="shared" si="0"/>
        <v>5681597.2244503424</v>
      </c>
      <c r="L17">
        <f t="shared" si="1"/>
        <v>12093.806931059287</v>
      </c>
      <c r="M17">
        <f t="shared" si="20"/>
        <v>5706842.0815011431</v>
      </c>
      <c r="N17" s="11">
        <f t="shared" si="21"/>
        <v>-36064.081501143053</v>
      </c>
      <c r="O17" s="12">
        <f t="shared" si="2"/>
        <v>5671128.1610804433</v>
      </c>
      <c r="P17">
        <f t="shared" si="3"/>
        <v>15335.58816246159</v>
      </c>
      <c r="Q17">
        <f t="shared" si="22"/>
        <v>5674279.6108044311</v>
      </c>
      <c r="R17" s="11">
        <f t="shared" si="23"/>
        <v>-3501.6108044311404</v>
      </c>
      <c r="S17" s="12">
        <f t="shared" si="4"/>
        <v>5673806.6718856404</v>
      </c>
      <c r="T17">
        <f t="shared" si="5"/>
        <v>6742.0684169505394</v>
      </c>
      <c r="U17">
        <f t="shared" si="24"/>
        <v>5685921.3594282018</v>
      </c>
      <c r="V17" s="11">
        <f t="shared" si="25"/>
        <v>-15143.359428201802</v>
      </c>
      <c r="W17" s="12">
        <f t="shared" si="6"/>
        <v>5670455.4987172242</v>
      </c>
      <c r="X17">
        <f t="shared" si="7"/>
        <v>20455.729566662703</v>
      </c>
      <c r="Y17">
        <f t="shared" si="26"/>
        <v>5670374.8733965307</v>
      </c>
      <c r="Z17" s="11">
        <f t="shared" si="27"/>
        <v>403.12660346925259</v>
      </c>
      <c r="AA17" s="12">
        <f t="shared" si="8"/>
        <v>5714159.1874516718</v>
      </c>
      <c r="AB17">
        <f t="shared" si="9"/>
        <v>-10277.160284246653</v>
      </c>
      <c r="AC17">
        <f t="shared" si="28"/>
        <v>5743079.9790861188</v>
      </c>
      <c r="AD17" s="11">
        <f t="shared" si="29"/>
        <v>-72301.97908611875</v>
      </c>
      <c r="AE17" s="12">
        <f t="shared" si="10"/>
        <v>5694667.3875705786</v>
      </c>
      <c r="AF17">
        <f t="shared" si="11"/>
        <v>18214.066083781741</v>
      </c>
      <c r="AG17">
        <f t="shared" si="30"/>
        <v>5726334.7152804164</v>
      </c>
      <c r="AH17" s="11">
        <f t="shared" si="31"/>
        <v>-55556.715280416422</v>
      </c>
    </row>
    <row r="18" spans="1:34" x14ac:dyDescent="0.3">
      <c r="A18" s="13">
        <v>15</v>
      </c>
      <c r="B18" s="11">
        <v>5747247</v>
      </c>
      <c r="C18" s="12">
        <f t="shared" si="12"/>
        <v>5723401.84453349</v>
      </c>
      <c r="D18">
        <f t="shared" si="13"/>
        <v>9900.2571899773175</v>
      </c>
      <c r="E18">
        <f t="shared" si="14"/>
        <v>5699556.689066981</v>
      </c>
      <c r="F18" s="11">
        <f t="shared" si="15"/>
        <v>47690.310933019035</v>
      </c>
      <c r="G18" s="12">
        <f t="shared" si="16"/>
        <v>5726009.7530188663</v>
      </c>
      <c r="H18">
        <f t="shared" si="17"/>
        <v>21742.126379308582</v>
      </c>
      <c r="I18">
        <f t="shared" si="18"/>
        <v>5716908.075741238</v>
      </c>
      <c r="J18">
        <f t="shared" si="19"/>
        <v>30338.924258762039</v>
      </c>
      <c r="K18" s="12">
        <f t="shared" si="0"/>
        <v>5731180.2094144206</v>
      </c>
      <c r="L18">
        <f t="shared" si="1"/>
        <v>21466.101439314039</v>
      </c>
      <c r="M18">
        <f t="shared" si="20"/>
        <v>5693691.0313814012</v>
      </c>
      <c r="N18" s="11">
        <f t="shared" si="21"/>
        <v>53555.968618598767</v>
      </c>
      <c r="O18" s="12">
        <f t="shared" si="2"/>
        <v>5741168.6749242898</v>
      </c>
      <c r="P18">
        <f t="shared" si="3"/>
        <v>20806.080730600082</v>
      </c>
      <c r="Q18">
        <f t="shared" si="22"/>
        <v>5686463.7492429046</v>
      </c>
      <c r="R18" s="11">
        <f t="shared" si="23"/>
        <v>60783.250757095404</v>
      </c>
      <c r="S18" s="12">
        <f t="shared" si="4"/>
        <v>5733907.3480605185</v>
      </c>
      <c r="T18">
        <f t="shared" si="5"/>
        <v>22749.650744328817</v>
      </c>
      <c r="U18">
        <f t="shared" si="24"/>
        <v>5680548.7403025907</v>
      </c>
      <c r="V18" s="11">
        <f t="shared" si="25"/>
        <v>66698.259697409347</v>
      </c>
      <c r="W18" s="12">
        <f t="shared" si="6"/>
        <v>5702178.38262711</v>
      </c>
      <c r="X18">
        <f t="shared" si="7"/>
        <v>21582.445000985012</v>
      </c>
      <c r="Y18">
        <f t="shared" si="26"/>
        <v>5690911.2282838868</v>
      </c>
      <c r="Z18" s="11">
        <f t="shared" si="27"/>
        <v>56335.771716113202</v>
      </c>
      <c r="AA18" s="12">
        <f t="shared" si="8"/>
        <v>5721228.0163004557</v>
      </c>
      <c r="AB18">
        <f t="shared" si="9"/>
        <v>1865.0321088747037</v>
      </c>
      <c r="AC18">
        <f t="shared" si="28"/>
        <v>5703882.0271674255</v>
      </c>
      <c r="AD18" s="11">
        <f t="shared" si="29"/>
        <v>43364.972832574509</v>
      </c>
      <c r="AE18" s="12">
        <f t="shared" si="10"/>
        <v>5732469.8150713742</v>
      </c>
      <c r="AF18">
        <f t="shared" si="11"/>
        <v>22131.738367184509</v>
      </c>
      <c r="AG18">
        <f t="shared" si="30"/>
        <v>5712881.45365436</v>
      </c>
      <c r="AH18" s="11">
        <f t="shared" si="31"/>
        <v>34365.546345639974</v>
      </c>
    </row>
    <row r="19" spans="1:34" x14ac:dyDescent="0.3">
      <c r="A19" s="13">
        <v>16</v>
      </c>
      <c r="B19" s="11">
        <v>5746732</v>
      </c>
      <c r="C19" s="12">
        <f t="shared" si="12"/>
        <v>5740017.050861733</v>
      </c>
      <c r="D19">
        <f t="shared" si="13"/>
        <v>13257.731759110167</v>
      </c>
      <c r="E19">
        <f t="shared" si="14"/>
        <v>5733302.101723467</v>
      </c>
      <c r="F19" s="11">
        <f t="shared" si="15"/>
        <v>13429.898276533</v>
      </c>
      <c r="G19" s="12">
        <f t="shared" si="16"/>
        <v>5747445.915578722</v>
      </c>
      <c r="H19">
        <f t="shared" si="17"/>
        <v>21711.529997363297</v>
      </c>
      <c r="I19">
        <f t="shared" si="18"/>
        <v>5747751.8793981746</v>
      </c>
      <c r="J19">
        <f t="shared" si="19"/>
        <v>-1019.8793981745839</v>
      </c>
      <c r="K19" s="12">
        <f t="shared" si="0"/>
        <v>5748506.2932561208</v>
      </c>
      <c r="L19">
        <f t="shared" si="1"/>
        <v>20431.097039910557</v>
      </c>
      <c r="M19">
        <f t="shared" si="20"/>
        <v>5752646.3108537346</v>
      </c>
      <c r="N19" s="11">
        <f t="shared" si="21"/>
        <v>-5914.3108537346125</v>
      </c>
      <c r="O19" s="12">
        <f t="shared" si="2"/>
        <v>5748256.2755654883</v>
      </c>
      <c r="P19">
        <f t="shared" si="3"/>
        <v>19434.232721659919</v>
      </c>
      <c r="Q19">
        <f t="shared" si="22"/>
        <v>5761974.7556548901</v>
      </c>
      <c r="R19" s="11">
        <f t="shared" si="23"/>
        <v>-15242.75565489009</v>
      </c>
      <c r="S19" s="12">
        <f t="shared" si="4"/>
        <v>5748716.9997609695</v>
      </c>
      <c r="T19">
        <f t="shared" si="5"/>
        <v>20367.651031165482</v>
      </c>
      <c r="U19">
        <f t="shared" si="24"/>
        <v>5756656.9988048477</v>
      </c>
      <c r="V19" s="11">
        <f t="shared" si="25"/>
        <v>-9924.9988048477098</v>
      </c>
      <c r="W19" s="12">
        <f t="shared" si="6"/>
        <v>5728355.0621024761</v>
      </c>
      <c r="X19">
        <f t="shared" si="7"/>
        <v>22041.868448423127</v>
      </c>
      <c r="Y19">
        <f t="shared" si="26"/>
        <v>5723760.8276280947</v>
      </c>
      <c r="Z19" s="11">
        <f t="shared" si="27"/>
        <v>22971.172371905297</v>
      </c>
      <c r="AA19" s="12">
        <f t="shared" si="8"/>
        <v>5732548.6290455982</v>
      </c>
      <c r="AB19">
        <f t="shared" si="9"/>
        <v>8483.9385542621894</v>
      </c>
      <c r="AC19">
        <f t="shared" si="28"/>
        <v>5723093.0484093307</v>
      </c>
      <c r="AD19" s="11">
        <f t="shared" si="29"/>
        <v>23638.951590669341</v>
      </c>
      <c r="AE19" s="12">
        <f t="shared" si="10"/>
        <v>5750115.9079785794</v>
      </c>
      <c r="AF19">
        <f t="shared" si="11"/>
        <v>21234.609275188654</v>
      </c>
      <c r="AG19">
        <f t="shared" si="30"/>
        <v>5754601.5534385582</v>
      </c>
      <c r="AH19" s="11">
        <f t="shared" si="31"/>
        <v>-7869.5534385582432</v>
      </c>
    </row>
    <row r="20" spans="1:34" x14ac:dyDescent="0.3">
      <c r="A20" s="13">
        <v>17</v>
      </c>
      <c r="B20" s="11">
        <v>5860509</v>
      </c>
      <c r="C20" s="12">
        <f t="shared" si="12"/>
        <v>5806891.8913104217</v>
      </c>
      <c r="D20">
        <f t="shared" si="13"/>
        <v>40066.286103899445</v>
      </c>
      <c r="E20">
        <f t="shared" si="14"/>
        <v>5753274.7826208435</v>
      </c>
      <c r="F20" s="11">
        <f t="shared" si="15"/>
        <v>107234.2173791565</v>
      </c>
      <c r="G20" s="12">
        <f t="shared" si="16"/>
        <v>5796562.9119032593</v>
      </c>
      <c r="H20">
        <f t="shared" si="17"/>
        <v>24452.076630080701</v>
      </c>
      <c r="I20">
        <f t="shared" si="18"/>
        <v>5769157.4455760857</v>
      </c>
      <c r="J20">
        <f t="shared" si="19"/>
        <v>91351.554423914291</v>
      </c>
      <c r="K20" s="12">
        <f t="shared" si="0"/>
        <v>5833037.51708881</v>
      </c>
      <c r="L20">
        <f t="shared" si="1"/>
        <v>36456.128738105224</v>
      </c>
      <c r="M20">
        <f t="shared" si="20"/>
        <v>5768937.3902960317</v>
      </c>
      <c r="N20" s="11">
        <f t="shared" si="21"/>
        <v>91571.609703968279</v>
      </c>
      <c r="O20" s="12">
        <f t="shared" si="2"/>
        <v>5851227.1508287154</v>
      </c>
      <c r="P20">
        <f t="shared" si="3"/>
        <v>27787.896975816642</v>
      </c>
      <c r="Q20">
        <f t="shared" si="22"/>
        <v>5767690.5082871486</v>
      </c>
      <c r="R20" s="11">
        <f t="shared" si="23"/>
        <v>92818.49171285145</v>
      </c>
      <c r="S20" s="12">
        <f t="shared" si="4"/>
        <v>5842224.1301584272</v>
      </c>
      <c r="T20">
        <f t="shared" si="5"/>
        <v>42309.494841053121</v>
      </c>
      <c r="U20">
        <f t="shared" si="24"/>
        <v>5769084.6507921349</v>
      </c>
      <c r="V20" s="11">
        <f t="shared" si="25"/>
        <v>91424.349207865074</v>
      </c>
      <c r="W20" s="12">
        <f t="shared" si="6"/>
        <v>5772419.3444407191</v>
      </c>
      <c r="X20">
        <f t="shared" si="7"/>
        <v>24244.109837405114</v>
      </c>
      <c r="Y20">
        <f t="shared" si="26"/>
        <v>5750396.9305508994</v>
      </c>
      <c r="Z20" s="11">
        <f t="shared" si="27"/>
        <v>110112.06944910064</v>
      </c>
      <c r="AA20" s="12">
        <f t="shared" si="8"/>
        <v>5788823.1405599155</v>
      </c>
      <c r="AB20">
        <f t="shared" si="9"/>
        <v>41937.339626300723</v>
      </c>
      <c r="AC20">
        <f t="shared" si="28"/>
        <v>5741032.56759986</v>
      </c>
      <c r="AD20" s="11">
        <f t="shared" si="29"/>
        <v>119476.43240013998</v>
      </c>
      <c r="AE20" s="12">
        <f t="shared" si="10"/>
        <v>5822170.8524191203</v>
      </c>
      <c r="AF20">
        <f t="shared" si="11"/>
        <v>31398.676308259095</v>
      </c>
      <c r="AG20">
        <f t="shared" si="30"/>
        <v>5771350.5172537677</v>
      </c>
      <c r="AH20" s="11">
        <f t="shared" si="31"/>
        <v>89158.482746232301</v>
      </c>
    </row>
    <row r="21" spans="1:34" x14ac:dyDescent="0.3">
      <c r="A21" s="13">
        <v>18</v>
      </c>
      <c r="B21" s="11">
        <v>5908509</v>
      </c>
      <c r="C21" s="12">
        <f t="shared" si="12"/>
        <v>5877733.5887071602</v>
      </c>
      <c r="D21">
        <f t="shared" si="13"/>
        <v>55453.99175031895</v>
      </c>
      <c r="E21">
        <f t="shared" si="14"/>
        <v>5846958.1774143213</v>
      </c>
      <c r="F21" s="11">
        <f t="shared" si="15"/>
        <v>61550.822585678659</v>
      </c>
      <c r="G21" s="12">
        <f t="shared" si="16"/>
        <v>5847263.1919733379</v>
      </c>
      <c r="H21">
        <f t="shared" si="17"/>
        <v>27076.896974080486</v>
      </c>
      <c r="I21">
        <f t="shared" si="18"/>
        <v>5821014.9885333404</v>
      </c>
      <c r="J21">
        <f t="shared" si="19"/>
        <v>87494.011466659606</v>
      </c>
      <c r="K21" s="12">
        <f t="shared" si="0"/>
        <v>5896804.3937480748</v>
      </c>
      <c r="L21">
        <f t="shared" si="1"/>
        <v>43283.815718395112</v>
      </c>
      <c r="M21">
        <f t="shared" si="20"/>
        <v>5869493.6458269153</v>
      </c>
      <c r="N21" s="11">
        <f t="shared" si="21"/>
        <v>39015.354173084721</v>
      </c>
      <c r="O21" s="12">
        <f t="shared" si="2"/>
        <v>5905559.6047804533</v>
      </c>
      <c r="P21">
        <f t="shared" si="3"/>
        <v>30442.352673408765</v>
      </c>
      <c r="Q21">
        <f t="shared" si="22"/>
        <v>5879015.0478045316</v>
      </c>
      <c r="R21" s="11">
        <f t="shared" si="23"/>
        <v>29493.952195468359</v>
      </c>
      <c r="S21" s="12">
        <f t="shared" si="4"/>
        <v>5903713.9249998964</v>
      </c>
      <c r="T21">
        <f t="shared" si="5"/>
        <v>48063.584841177959</v>
      </c>
      <c r="U21">
        <f t="shared" si="24"/>
        <v>5884533.6249994803</v>
      </c>
      <c r="V21" s="11">
        <f t="shared" si="25"/>
        <v>23975.375000519678</v>
      </c>
      <c r="W21" s="12">
        <f t="shared" si="6"/>
        <v>5819032.5634224992</v>
      </c>
      <c r="X21">
        <f t="shared" si="7"/>
        <v>26481.020751842614</v>
      </c>
      <c r="Y21">
        <f t="shared" si="26"/>
        <v>5796663.4542781245</v>
      </c>
      <c r="Z21" s="11">
        <f t="shared" si="27"/>
        <v>111845.5457218755</v>
      </c>
      <c r="AA21" s="12">
        <f t="shared" si="8"/>
        <v>5861859.8881117301</v>
      </c>
      <c r="AB21">
        <f t="shared" si="9"/>
        <v>63706.925174160468</v>
      </c>
      <c r="AC21">
        <f t="shared" si="28"/>
        <v>5830760.4801862165</v>
      </c>
      <c r="AD21" s="11">
        <f t="shared" si="29"/>
        <v>77748.519813783467</v>
      </c>
      <c r="AE21" s="12">
        <f t="shared" si="10"/>
        <v>5884885.0273527736</v>
      </c>
      <c r="AF21">
        <f t="shared" si="11"/>
        <v>37661.776033337941</v>
      </c>
      <c r="AG21">
        <f t="shared" si="30"/>
        <v>5853569.5287273796</v>
      </c>
      <c r="AH21" s="11">
        <f t="shared" si="31"/>
        <v>54939.471272620372</v>
      </c>
    </row>
    <row r="22" spans="1:34" x14ac:dyDescent="0.3">
      <c r="A22" s="13">
        <v>19</v>
      </c>
      <c r="B22" s="11">
        <v>5941133</v>
      </c>
      <c r="C22" s="12">
        <f t="shared" si="12"/>
        <v>5937160.2902287394</v>
      </c>
      <c r="D22">
        <f t="shared" si="13"/>
        <v>57440.346635949063</v>
      </c>
      <c r="E22">
        <f t="shared" si="14"/>
        <v>5933187.5804574788</v>
      </c>
      <c r="F22" s="11">
        <f t="shared" si="15"/>
        <v>7945.4195425212383</v>
      </c>
      <c r="G22" s="12">
        <f t="shared" si="16"/>
        <v>5894377.962263193</v>
      </c>
      <c r="H22">
        <f t="shared" si="17"/>
        <v>29080.684305657946</v>
      </c>
      <c r="I22">
        <f t="shared" si="18"/>
        <v>5874340.0889474181</v>
      </c>
      <c r="J22">
        <f t="shared" si="19"/>
        <v>66792.911052581854</v>
      </c>
      <c r="K22" s="12">
        <f t="shared" si="0"/>
        <v>5940819.5628399402</v>
      </c>
      <c r="L22">
        <f t="shared" si="1"/>
        <v>43466.654061762689</v>
      </c>
      <c r="M22">
        <f t="shared" si="20"/>
        <v>5940088.2094664695</v>
      </c>
      <c r="N22" s="11">
        <f t="shared" si="21"/>
        <v>1044.7905335305259</v>
      </c>
      <c r="O22" s="12">
        <f t="shared" si="2"/>
        <v>5940619.8957453864</v>
      </c>
      <c r="P22">
        <f t="shared" si="3"/>
        <v>30904.146502561201</v>
      </c>
      <c r="Q22">
        <f t="shared" si="22"/>
        <v>5936001.9574538618</v>
      </c>
      <c r="R22" s="11">
        <f t="shared" si="23"/>
        <v>5131.0425461381674</v>
      </c>
      <c r="S22" s="12">
        <f t="shared" si="4"/>
        <v>5943261.9019682147</v>
      </c>
      <c r="T22">
        <f t="shared" si="5"/>
        <v>45508.902479320037</v>
      </c>
      <c r="U22">
        <f t="shared" si="24"/>
        <v>5951777.5098410742</v>
      </c>
      <c r="V22" s="11">
        <f t="shared" si="25"/>
        <v>-10644.509841074236</v>
      </c>
      <c r="W22" s="12">
        <f t="shared" si="6"/>
        <v>5864637.4673394728</v>
      </c>
      <c r="X22">
        <f t="shared" si="7"/>
        <v>28393.409068355715</v>
      </c>
      <c r="Y22">
        <f t="shared" si="26"/>
        <v>5845513.5841743415</v>
      </c>
      <c r="Z22" s="11">
        <f t="shared" si="27"/>
        <v>95619.415825658478</v>
      </c>
      <c r="AA22" s="12">
        <f t="shared" si="8"/>
        <v>5931793.2879715348</v>
      </c>
      <c r="AB22">
        <f t="shared" si="9"/>
        <v>68065.457454111398</v>
      </c>
      <c r="AC22">
        <f t="shared" si="28"/>
        <v>5925566.813285891</v>
      </c>
      <c r="AD22" s="11">
        <f t="shared" si="29"/>
        <v>15566.186714109033</v>
      </c>
      <c r="AE22" s="12">
        <f t="shared" si="10"/>
        <v>5933140.9354560282</v>
      </c>
      <c r="AF22">
        <f t="shared" si="11"/>
        <v>39780.602447321275</v>
      </c>
      <c r="AG22">
        <f t="shared" si="30"/>
        <v>5922546.8033861117</v>
      </c>
      <c r="AH22" s="11">
        <f t="shared" si="31"/>
        <v>18586.196613888256</v>
      </c>
    </row>
    <row r="23" spans="1:34" x14ac:dyDescent="0.3">
      <c r="A23" s="13">
        <v>20</v>
      </c>
      <c r="B23" s="11">
        <v>5934562</v>
      </c>
      <c r="C23" s="12">
        <f t="shared" si="12"/>
        <v>5964581.3184323441</v>
      </c>
      <c r="D23">
        <f t="shared" si="13"/>
        <v>42430.687419776907</v>
      </c>
      <c r="E23">
        <f t="shared" si="14"/>
        <v>5994600.6368646882</v>
      </c>
      <c r="F23" s="11">
        <f t="shared" si="15"/>
        <v>-60038.636864688247</v>
      </c>
      <c r="G23" s="12">
        <f t="shared" si="16"/>
        <v>5926789.6525981948</v>
      </c>
      <c r="H23">
        <f t="shared" si="17"/>
        <v>29413.784908592334</v>
      </c>
      <c r="I23">
        <f t="shared" si="18"/>
        <v>5923458.6465688506</v>
      </c>
      <c r="J23">
        <f t="shared" si="19"/>
        <v>11103.353431149386</v>
      </c>
      <c r="K23" s="12">
        <f t="shared" si="0"/>
        <v>5949479.265070511</v>
      </c>
      <c r="L23">
        <f t="shared" si="1"/>
        <v>34764.91610396473</v>
      </c>
      <c r="M23">
        <f t="shared" si="20"/>
        <v>5984286.2169017028</v>
      </c>
      <c r="N23" s="11">
        <f t="shared" si="21"/>
        <v>-49724.216901702806</v>
      </c>
      <c r="O23" s="12">
        <f t="shared" si="2"/>
        <v>5938258.2042247942</v>
      </c>
      <c r="P23">
        <f t="shared" si="3"/>
        <v>27577.56270024586</v>
      </c>
      <c r="Q23">
        <f t="shared" si="22"/>
        <v>5971524.0422479473</v>
      </c>
      <c r="R23" s="11">
        <f t="shared" si="23"/>
        <v>-36962.042247947305</v>
      </c>
      <c r="S23" s="12">
        <f t="shared" si="4"/>
        <v>5945403.7608895069</v>
      </c>
      <c r="T23">
        <f t="shared" si="5"/>
        <v>32498.789411911694</v>
      </c>
      <c r="U23">
        <f t="shared" si="24"/>
        <v>5988770.8044475345</v>
      </c>
      <c r="V23" s="11">
        <f t="shared" si="25"/>
        <v>-54208.804447534494</v>
      </c>
      <c r="W23" s="12">
        <f t="shared" si="6"/>
        <v>5901337.1011262629</v>
      </c>
      <c r="X23">
        <f t="shared" si="7"/>
        <v>29224.03154019915</v>
      </c>
      <c r="Y23">
        <f t="shared" si="26"/>
        <v>5893030.8764078282</v>
      </c>
      <c r="Z23" s="11">
        <f t="shared" si="27"/>
        <v>41531.123592171818</v>
      </c>
      <c r="AA23" s="12">
        <f t="shared" si="8"/>
        <v>5973740.0472553875</v>
      </c>
      <c r="AB23">
        <f t="shared" si="9"/>
        <v>49782.368734930351</v>
      </c>
      <c r="AC23">
        <f t="shared" si="28"/>
        <v>5999858.7454256462</v>
      </c>
      <c r="AD23" s="11">
        <f t="shared" si="29"/>
        <v>-65296.745425646193</v>
      </c>
      <c r="AE23" s="12">
        <f t="shared" si="10"/>
        <v>5951056.6012984402</v>
      </c>
      <c r="AF23">
        <f t="shared" si="11"/>
        <v>35407.615126339428</v>
      </c>
      <c r="AG23">
        <f t="shared" si="30"/>
        <v>5972921.5379033498</v>
      </c>
      <c r="AH23" s="11">
        <f t="shared" si="31"/>
        <v>-38359.537903349847</v>
      </c>
    </row>
    <row r="24" spans="1:34" x14ac:dyDescent="0.3">
      <c r="A24" s="13">
        <v>21</v>
      </c>
      <c r="B24" s="11">
        <v>6134178</v>
      </c>
      <c r="C24" s="12">
        <f t="shared" si="12"/>
        <v>6070595.0029260609</v>
      </c>
      <c r="D24">
        <f t="shared" si="13"/>
        <v>74222.185956746864</v>
      </c>
      <c r="E24">
        <f t="shared" si="14"/>
        <v>6007012.0058521209</v>
      </c>
      <c r="F24" s="11">
        <f t="shared" si="15"/>
        <v>127165.99414787907</v>
      </c>
      <c r="G24" s="12">
        <f t="shared" si="16"/>
        <v>6009595.806254751</v>
      </c>
      <c r="H24">
        <f t="shared" si="17"/>
        <v>34753.021783388729</v>
      </c>
      <c r="I24">
        <f t="shared" si="18"/>
        <v>5956203.4375067875</v>
      </c>
      <c r="J24">
        <f t="shared" si="19"/>
        <v>177974.56249321252</v>
      </c>
      <c r="K24" s="12">
        <f t="shared" si="0"/>
        <v>6089197.8543523429</v>
      </c>
      <c r="L24">
        <f t="shared" si="1"/>
        <v>61003.334398431514</v>
      </c>
      <c r="M24">
        <f t="shared" si="20"/>
        <v>5984244.1811744757</v>
      </c>
      <c r="N24" s="11">
        <f t="shared" si="21"/>
        <v>149933.8188255243</v>
      </c>
      <c r="O24" s="12">
        <f t="shared" si="2"/>
        <v>6117343.7766925041</v>
      </c>
      <c r="P24">
        <f t="shared" si="3"/>
        <v>42728.36367699226</v>
      </c>
      <c r="Q24">
        <f t="shared" si="22"/>
        <v>5965835.7669250397</v>
      </c>
      <c r="R24" s="11">
        <f t="shared" si="23"/>
        <v>168342.2330749603</v>
      </c>
      <c r="S24" s="12">
        <f t="shared" si="4"/>
        <v>6102922.9100602837</v>
      </c>
      <c r="T24">
        <f t="shared" si="5"/>
        <v>70004.897339571238</v>
      </c>
      <c r="U24">
        <f t="shared" si="24"/>
        <v>5977902.5503014186</v>
      </c>
      <c r="V24" s="11">
        <f t="shared" si="25"/>
        <v>156275.44969858136</v>
      </c>
      <c r="W24" s="12">
        <f t="shared" si="6"/>
        <v>5971284.5061331708</v>
      </c>
      <c r="X24">
        <f t="shared" si="7"/>
        <v>33296.368886870026</v>
      </c>
      <c r="Y24">
        <f t="shared" si="26"/>
        <v>5930561.1326664621</v>
      </c>
      <c r="Z24" s="11">
        <f t="shared" si="27"/>
        <v>203616.8673335379</v>
      </c>
      <c r="AA24" s="12">
        <f t="shared" si="8"/>
        <v>6067784.6495941915</v>
      </c>
      <c r="AB24">
        <f t="shared" si="9"/>
        <v>80765.932257641849</v>
      </c>
      <c r="AC24">
        <f t="shared" si="28"/>
        <v>6023522.4159903182</v>
      </c>
      <c r="AD24" s="11">
        <f t="shared" si="29"/>
        <v>110655.58400968183</v>
      </c>
      <c r="AE24" s="12">
        <f t="shared" si="10"/>
        <v>6070661.0730626546</v>
      </c>
      <c r="AF24">
        <f t="shared" si="11"/>
        <v>52246.986453914411</v>
      </c>
      <c r="AG24">
        <f t="shared" si="30"/>
        <v>5986464.21642478</v>
      </c>
      <c r="AH24" s="11">
        <f t="shared" si="31"/>
        <v>147713.78357522003</v>
      </c>
    </row>
    <row r="25" spans="1:34" x14ac:dyDescent="0.3">
      <c r="A25" s="13">
        <v>22</v>
      </c>
      <c r="B25" s="11">
        <v>6026908</v>
      </c>
      <c r="C25" s="12">
        <f t="shared" si="12"/>
        <v>6085862.5944414046</v>
      </c>
      <c r="D25">
        <f t="shared" si="13"/>
        <v>44744.88873604525</v>
      </c>
      <c r="E25">
        <f t="shared" si="14"/>
        <v>6144817.1888828082</v>
      </c>
      <c r="F25" s="11">
        <f t="shared" si="15"/>
        <v>-117909.1888828082</v>
      </c>
      <c r="G25" s="12">
        <f t="shared" si="16"/>
        <v>6039116.579626698</v>
      </c>
      <c r="H25">
        <f t="shared" si="17"/>
        <v>34229.79694224456</v>
      </c>
      <c r="I25">
        <f t="shared" si="18"/>
        <v>6044348.8280381402</v>
      </c>
      <c r="J25">
        <f t="shared" si="19"/>
        <v>-17440.8280381402</v>
      </c>
      <c r="K25" s="12">
        <f t="shared" si="0"/>
        <v>6063895.9566252325</v>
      </c>
      <c r="L25">
        <f t="shared" si="1"/>
        <v>39427.026367046026</v>
      </c>
      <c r="M25">
        <f t="shared" si="20"/>
        <v>6150201.1887507746</v>
      </c>
      <c r="N25" s="11">
        <f t="shared" si="21"/>
        <v>-123293.1887507746</v>
      </c>
      <c r="O25" s="12">
        <f t="shared" si="2"/>
        <v>6040224.4140369501</v>
      </c>
      <c r="P25">
        <f t="shared" si="3"/>
        <v>30743.591043737641</v>
      </c>
      <c r="Q25">
        <f t="shared" si="22"/>
        <v>6160072.1403694963</v>
      </c>
      <c r="R25" s="11">
        <f t="shared" si="23"/>
        <v>-133164.14036949631</v>
      </c>
      <c r="S25" s="12">
        <f t="shared" si="4"/>
        <v>6056111.9614799712</v>
      </c>
      <c r="T25">
        <f t="shared" si="5"/>
        <v>34960.1435636061</v>
      </c>
      <c r="U25">
        <f t="shared" si="24"/>
        <v>6172927.807399855</v>
      </c>
      <c r="V25" s="11">
        <f t="shared" si="25"/>
        <v>-146019.807399855</v>
      </c>
      <c r="W25" s="12">
        <f t="shared" si="6"/>
        <v>6009046.3000160325</v>
      </c>
      <c r="X25">
        <f t="shared" si="7"/>
        <v>33742.911386469197</v>
      </c>
      <c r="Y25">
        <f t="shared" si="26"/>
        <v>6004580.8750200411</v>
      </c>
      <c r="Z25" s="11">
        <f t="shared" si="27"/>
        <v>22327.12497995887</v>
      </c>
      <c r="AA25" s="12">
        <f t="shared" si="8"/>
        <v>6099893.5491110999</v>
      </c>
      <c r="AB25">
        <f t="shared" si="9"/>
        <v>46706.009339128475</v>
      </c>
      <c r="AC25">
        <f t="shared" si="28"/>
        <v>6148550.5818518335</v>
      </c>
      <c r="AD25" s="11">
        <f t="shared" si="29"/>
        <v>-121642.5818518335</v>
      </c>
      <c r="AE25" s="12">
        <f t="shared" si="10"/>
        <v>6068188.0255921241</v>
      </c>
      <c r="AF25">
        <f t="shared" si="11"/>
        <v>41302.97966902543</v>
      </c>
      <c r="AG25">
        <f t="shared" si="30"/>
        <v>6122908.0595165687</v>
      </c>
      <c r="AH25" s="11">
        <f t="shared" si="31"/>
        <v>-96000.059516568668</v>
      </c>
    </row>
    <row r="26" spans="1:34" x14ac:dyDescent="0.3">
      <c r="A26" s="13">
        <v>23</v>
      </c>
      <c r="B26" s="11">
        <v>6074377</v>
      </c>
      <c r="C26" s="12">
        <f t="shared" si="12"/>
        <v>6102492.2415887248</v>
      </c>
      <c r="D26">
        <f t="shared" si="13"/>
        <v>30687.26794168273</v>
      </c>
      <c r="E26">
        <f t="shared" si="14"/>
        <v>6130607.4831774496</v>
      </c>
      <c r="F26" s="11">
        <f t="shared" si="15"/>
        <v>-56230.483177449554</v>
      </c>
      <c r="G26" s="12">
        <f t="shared" si="16"/>
        <v>6073655.5635982594</v>
      </c>
      <c r="H26">
        <f t="shared" si="17"/>
        <v>34260.715645176235</v>
      </c>
      <c r="I26">
        <f t="shared" si="18"/>
        <v>6073346.3765689423</v>
      </c>
      <c r="J26">
        <f t="shared" si="19"/>
        <v>1030.6234310576692</v>
      </c>
      <c r="K26" s="12">
        <f t="shared" si="0"/>
        <v>6083060.794897683</v>
      </c>
      <c r="L26">
        <f t="shared" si="1"/>
        <v>34361.479343397143</v>
      </c>
      <c r="M26">
        <f t="shared" si="20"/>
        <v>6103322.9829922784</v>
      </c>
      <c r="N26" s="11">
        <f t="shared" si="21"/>
        <v>-28945.982992278412</v>
      </c>
      <c r="O26" s="12">
        <f t="shared" si="2"/>
        <v>6074036.1005080687</v>
      </c>
      <c r="P26">
        <f t="shared" si="3"/>
        <v>31050.400586475735</v>
      </c>
      <c r="Q26">
        <f t="shared" si="22"/>
        <v>6070968.0050806878</v>
      </c>
      <c r="R26" s="11">
        <f t="shared" si="23"/>
        <v>3408.9949193121865</v>
      </c>
      <c r="S26" s="12">
        <f t="shared" si="4"/>
        <v>6077716.021008716</v>
      </c>
      <c r="T26">
        <f t="shared" si="5"/>
        <v>30953.318353147701</v>
      </c>
      <c r="U26">
        <f t="shared" si="24"/>
        <v>6091072.105043577</v>
      </c>
      <c r="V26" s="11">
        <f t="shared" si="25"/>
        <v>-16695.10504357703</v>
      </c>
      <c r="W26" s="12">
        <f t="shared" si="6"/>
        <v>6049106.7691220017</v>
      </c>
      <c r="X26">
        <f t="shared" si="7"/>
        <v>34374.667158419194</v>
      </c>
      <c r="Y26">
        <f t="shared" si="26"/>
        <v>6042789.2114025019</v>
      </c>
      <c r="Z26" s="11">
        <f t="shared" si="27"/>
        <v>31587.788597498089</v>
      </c>
      <c r="AA26" s="12">
        <f t="shared" si="8"/>
        <v>6117710.5350701371</v>
      </c>
      <c r="AB26">
        <f t="shared" si="9"/>
        <v>26483.692973064586</v>
      </c>
      <c r="AC26">
        <f t="shared" si="28"/>
        <v>6146599.5584502285</v>
      </c>
      <c r="AD26" s="11">
        <f t="shared" si="29"/>
        <v>-72222.558450228535</v>
      </c>
      <c r="AE26" s="12">
        <f t="shared" si="10"/>
        <v>6089476.0222622938</v>
      </c>
      <c r="AF26">
        <f t="shared" si="11"/>
        <v>37299.983069254296</v>
      </c>
      <c r="AG26">
        <f t="shared" si="30"/>
        <v>6109491.0052611493</v>
      </c>
      <c r="AH26" s="11">
        <f t="shared" si="31"/>
        <v>-35114.005261149257</v>
      </c>
    </row>
    <row r="27" spans="1:34" x14ac:dyDescent="0.3">
      <c r="A27" s="13">
        <v>24</v>
      </c>
      <c r="B27" s="11">
        <v>6136552</v>
      </c>
      <c r="C27" s="12">
        <f t="shared" si="12"/>
        <v>6134865.7547652032</v>
      </c>
      <c r="D27">
        <f t="shared" si="13"/>
        <v>31530.390559080588</v>
      </c>
      <c r="E27">
        <f t="shared" si="14"/>
        <v>6133179.5095304074</v>
      </c>
      <c r="F27" s="11">
        <f t="shared" si="15"/>
        <v>3372.4904695926234</v>
      </c>
      <c r="G27" s="12">
        <f t="shared" si="16"/>
        <v>6116506.9954704046</v>
      </c>
      <c r="H27">
        <f t="shared" si="17"/>
        <v>35119.787267873136</v>
      </c>
      <c r="I27">
        <f t="shared" si="18"/>
        <v>6107916.2792434357</v>
      </c>
      <c r="J27">
        <f t="shared" si="19"/>
        <v>28635.720756564289</v>
      </c>
      <c r="K27" s="12">
        <f t="shared" si="0"/>
        <v>6130813.0822723238</v>
      </c>
      <c r="L27">
        <f t="shared" si="1"/>
        <v>37709.181351208063</v>
      </c>
      <c r="M27">
        <f t="shared" si="20"/>
        <v>6117422.2742410805</v>
      </c>
      <c r="N27" s="11">
        <f t="shared" si="21"/>
        <v>19129.725758919492</v>
      </c>
      <c r="O27" s="12">
        <f t="shared" si="2"/>
        <v>6133405.4501094539</v>
      </c>
      <c r="P27">
        <f t="shared" si="3"/>
        <v>33882.29548796668</v>
      </c>
      <c r="Q27">
        <f t="shared" si="22"/>
        <v>6105086.5010945443</v>
      </c>
      <c r="R27" s="11">
        <f t="shared" si="23"/>
        <v>31465.498905455694</v>
      </c>
      <c r="S27" s="12">
        <f t="shared" si="4"/>
        <v>6130975.4678723728</v>
      </c>
      <c r="T27">
        <f t="shared" si="5"/>
        <v>37645.156906300443</v>
      </c>
      <c r="U27">
        <f t="shared" si="24"/>
        <v>6108669.3393618632</v>
      </c>
      <c r="V27" s="11">
        <f t="shared" si="25"/>
        <v>27882.660638136789</v>
      </c>
      <c r="W27" s="12">
        <f t="shared" si="6"/>
        <v>6094095.549024337</v>
      </c>
      <c r="X27">
        <f t="shared" si="7"/>
        <v>35436.078432810798</v>
      </c>
      <c r="Y27">
        <f t="shared" si="26"/>
        <v>6083481.436280421</v>
      </c>
      <c r="Z27" s="11">
        <f t="shared" si="27"/>
        <v>53070.563719579019</v>
      </c>
      <c r="AA27" s="12">
        <f t="shared" si="8"/>
        <v>6141137.3368259212</v>
      </c>
      <c r="AB27">
        <f t="shared" si="9"/>
        <v>24343.869120968229</v>
      </c>
      <c r="AC27">
        <f t="shared" si="28"/>
        <v>6144194.2280432014</v>
      </c>
      <c r="AD27" s="11">
        <f t="shared" si="29"/>
        <v>-7642.2280432013795</v>
      </c>
      <c r="AE27" s="12">
        <f t="shared" si="10"/>
        <v>6132348.3222925654</v>
      </c>
      <c r="AF27">
        <f t="shared" si="11"/>
        <v>38414.446461457745</v>
      </c>
      <c r="AG27">
        <f t="shared" si="30"/>
        <v>6126776.0053315479</v>
      </c>
      <c r="AH27" s="11">
        <f t="shared" si="31"/>
        <v>9775.9946684520692</v>
      </c>
    </row>
    <row r="28" spans="1:34" x14ac:dyDescent="0.3">
      <c r="A28" s="13">
        <v>25</v>
      </c>
      <c r="B28" s="11">
        <v>6046651</v>
      </c>
      <c r="C28" s="12">
        <f t="shared" si="12"/>
        <v>6106523.5726621421</v>
      </c>
      <c r="D28">
        <f t="shared" si="13"/>
        <v>1594.1042280097354</v>
      </c>
      <c r="E28">
        <f t="shared" si="14"/>
        <v>6166396.1453242842</v>
      </c>
      <c r="F28" s="11">
        <f t="shared" si="15"/>
        <v>-119745.14532428421</v>
      </c>
      <c r="G28" s="12">
        <f t="shared" si="16"/>
        <v>6120134.0479167942</v>
      </c>
      <c r="H28">
        <f t="shared" si="17"/>
        <v>31970.513785724779</v>
      </c>
      <c r="I28">
        <f t="shared" si="18"/>
        <v>6151626.7827382777</v>
      </c>
      <c r="J28">
        <f t="shared" si="19"/>
        <v>-104975.78273827769</v>
      </c>
      <c r="K28" s="12">
        <f t="shared" si="0"/>
        <v>6083212.3790870598</v>
      </c>
      <c r="L28">
        <f t="shared" si="1"/>
        <v>16381.71021709004</v>
      </c>
      <c r="M28">
        <f t="shared" si="20"/>
        <v>6168522.2636235319</v>
      </c>
      <c r="N28" s="11">
        <f t="shared" si="21"/>
        <v>-121871.26362353191</v>
      </c>
      <c r="O28" s="12">
        <f t="shared" si="2"/>
        <v>6058714.6745597422</v>
      </c>
      <c r="P28">
        <f t="shared" si="3"/>
        <v>23024.988384198849</v>
      </c>
      <c r="Q28">
        <f t="shared" si="22"/>
        <v>6167287.7455974203</v>
      </c>
      <c r="R28" s="11">
        <f t="shared" si="23"/>
        <v>-120636.74559742026</v>
      </c>
      <c r="S28" s="12">
        <f t="shared" si="4"/>
        <v>6071044.9249557341</v>
      </c>
      <c r="T28">
        <f t="shared" si="5"/>
        <v>8372.4469594186776</v>
      </c>
      <c r="U28">
        <f t="shared" si="24"/>
        <v>6168620.6247786731</v>
      </c>
      <c r="V28" s="11">
        <f t="shared" si="25"/>
        <v>-121969.62477867305</v>
      </c>
      <c r="W28" s="12">
        <f t="shared" si="6"/>
        <v>6112955.5019657183</v>
      </c>
      <c r="X28">
        <f t="shared" si="7"/>
        <v>33778.465883667857</v>
      </c>
      <c r="Y28">
        <f t="shared" si="26"/>
        <v>6129531.6274571475</v>
      </c>
      <c r="Z28" s="11">
        <f t="shared" si="27"/>
        <v>-82880.627457147464</v>
      </c>
      <c r="AA28" s="12">
        <f t="shared" si="8"/>
        <v>6117949.1235681335</v>
      </c>
      <c r="AB28">
        <f t="shared" si="9"/>
        <v>-8928.5885441609535</v>
      </c>
      <c r="AC28">
        <f t="shared" si="28"/>
        <v>6165481.2059468897</v>
      </c>
      <c r="AD28" s="11">
        <f t="shared" si="29"/>
        <v>-118830.20594688971</v>
      </c>
      <c r="AE28" s="12">
        <f t="shared" si="10"/>
        <v>6100019.0605642302</v>
      </c>
      <c r="AF28">
        <f t="shared" si="11"/>
        <v>24265.704823499163</v>
      </c>
      <c r="AG28">
        <f t="shared" si="30"/>
        <v>6170762.7687540231</v>
      </c>
      <c r="AH28" s="11">
        <f t="shared" si="31"/>
        <v>-124111.76875402313</v>
      </c>
    </row>
    <row r="29" spans="1:34" x14ac:dyDescent="0.3">
      <c r="A29" s="13">
        <v>26</v>
      </c>
      <c r="B29" s="11">
        <v>6116495</v>
      </c>
      <c r="C29" s="12">
        <f t="shared" si="12"/>
        <v>6112306.3384450758</v>
      </c>
      <c r="D29">
        <f t="shared" si="13"/>
        <v>3688.4350054717088</v>
      </c>
      <c r="E29">
        <f t="shared" si="14"/>
        <v>6108117.6768901516</v>
      </c>
      <c r="F29" s="11">
        <f t="shared" si="15"/>
        <v>8377.3231098484248</v>
      </c>
      <c r="G29" s="12">
        <f t="shared" si="16"/>
        <v>6141421.693191763</v>
      </c>
      <c r="H29">
        <f t="shared" si="17"/>
        <v>30902.226934649185</v>
      </c>
      <c r="I29">
        <f t="shared" si="18"/>
        <v>6152104.5617025187</v>
      </c>
      <c r="J29">
        <f t="shared" si="19"/>
        <v>-35609.561702518724</v>
      </c>
      <c r="K29" s="12">
        <f t="shared" si="0"/>
        <v>6111424.7267912459</v>
      </c>
      <c r="L29">
        <f t="shared" si="1"/>
        <v>19339.369588864058</v>
      </c>
      <c r="M29">
        <f t="shared" si="20"/>
        <v>6099594.0893041501</v>
      </c>
      <c r="N29" s="11">
        <f t="shared" si="21"/>
        <v>16900.910695849918</v>
      </c>
      <c r="O29" s="12">
        <f t="shared" si="2"/>
        <v>6113019.4662943939</v>
      </c>
      <c r="P29">
        <f t="shared" si="3"/>
        <v>26152.968719244131</v>
      </c>
      <c r="Q29">
        <f t="shared" si="22"/>
        <v>6081739.6629439406</v>
      </c>
      <c r="R29" s="11">
        <f t="shared" si="23"/>
        <v>34755.33705605939</v>
      </c>
      <c r="S29" s="12">
        <f t="shared" si="4"/>
        <v>6109079.4743830301</v>
      </c>
      <c r="T29">
        <f t="shared" si="5"/>
        <v>17271.077699781883</v>
      </c>
      <c r="U29">
        <f t="shared" si="24"/>
        <v>6079417.3719151523</v>
      </c>
      <c r="V29" s="11">
        <f t="shared" si="25"/>
        <v>37077.628084847704</v>
      </c>
      <c r="W29" s="12">
        <f t="shared" si="6"/>
        <v>6140686.1742795091</v>
      </c>
      <c r="X29">
        <f t="shared" si="7"/>
        <v>33173.686526680147</v>
      </c>
      <c r="Y29">
        <f t="shared" si="26"/>
        <v>6146733.9678493859</v>
      </c>
      <c r="Z29" s="11">
        <f t="shared" si="27"/>
        <v>-30238.967849385925</v>
      </c>
      <c r="AA29" s="12">
        <f t="shared" si="8"/>
        <v>6112010.3210143838</v>
      </c>
      <c r="AB29">
        <f t="shared" si="9"/>
        <v>-6835.7383508730363</v>
      </c>
      <c r="AC29">
        <f t="shared" si="28"/>
        <v>6109020.5350239724</v>
      </c>
      <c r="AD29" s="11">
        <f t="shared" si="29"/>
        <v>7474.4649760276079</v>
      </c>
      <c r="AE29" s="12">
        <f t="shared" si="10"/>
        <v>6119844.599116724</v>
      </c>
      <c r="AF29">
        <f t="shared" si="11"/>
        <v>23377.671569298087</v>
      </c>
      <c r="AG29">
        <f t="shared" si="30"/>
        <v>6124284.7653877297</v>
      </c>
      <c r="AH29" s="11">
        <f t="shared" si="31"/>
        <v>-7789.7653877297416</v>
      </c>
    </row>
    <row r="30" spans="1:34" x14ac:dyDescent="0.3">
      <c r="A30" s="13">
        <v>27</v>
      </c>
      <c r="B30" s="11">
        <v>6440457.3899999997</v>
      </c>
      <c r="C30" s="12">
        <f t="shared" si="12"/>
        <v>6278226.0817252733</v>
      </c>
      <c r="D30">
        <f t="shared" si="13"/>
        <v>84804.089142834608</v>
      </c>
      <c r="E30">
        <f t="shared" si="14"/>
        <v>6115994.7734505478</v>
      </c>
      <c r="F30" s="11">
        <f t="shared" si="15"/>
        <v>324462.61654945184</v>
      </c>
      <c r="G30" s="12">
        <f t="shared" si="16"/>
        <v>6252763.9610884879</v>
      </c>
      <c r="H30">
        <f t="shared" si="17"/>
        <v>38946.231030856754</v>
      </c>
      <c r="I30">
        <f t="shared" si="18"/>
        <v>6172323.9201264121</v>
      </c>
      <c r="J30">
        <f t="shared" si="19"/>
        <v>268133.4698735876</v>
      </c>
      <c r="K30" s="12">
        <f t="shared" si="0"/>
        <v>6347549.4019140322</v>
      </c>
      <c r="L30">
        <f t="shared" si="1"/>
        <v>73535.69597234462</v>
      </c>
      <c r="M30">
        <f t="shared" si="20"/>
        <v>6130764.0963801099</v>
      </c>
      <c r="N30" s="11">
        <f t="shared" si="21"/>
        <v>309693.29361988977</v>
      </c>
      <c r="O30" s="12">
        <f t="shared" si="2"/>
        <v>6410328.8945013629</v>
      </c>
      <c r="P30">
        <f t="shared" si="3"/>
        <v>53268.614668016628</v>
      </c>
      <c r="Q30">
        <f t="shared" si="22"/>
        <v>6139172.4350136379</v>
      </c>
      <c r="R30" s="11">
        <f t="shared" si="23"/>
        <v>301284.95498636179</v>
      </c>
      <c r="S30" s="12">
        <f t="shared" si="4"/>
        <v>6377636.0224165628</v>
      </c>
      <c r="T30">
        <f t="shared" si="5"/>
        <v>92656.718799907132</v>
      </c>
      <c r="U30">
        <f t="shared" si="24"/>
        <v>6126350.5520828124</v>
      </c>
      <c r="V30" s="11">
        <f t="shared" si="25"/>
        <v>314106.83791718725</v>
      </c>
      <c r="W30" s="12">
        <f t="shared" si="6"/>
        <v>6227179.3666449515</v>
      </c>
      <c r="X30">
        <f t="shared" si="7"/>
        <v>38505.637110556374</v>
      </c>
      <c r="Y30">
        <f t="shared" si="26"/>
        <v>6173859.8608061895</v>
      </c>
      <c r="Z30" s="11">
        <f t="shared" si="27"/>
        <v>266597.52919381019</v>
      </c>
      <c r="AA30" s="12">
        <f t="shared" si="8"/>
        <v>6239287.7055981066</v>
      </c>
      <c r="AB30">
        <f t="shared" si="9"/>
        <v>87043.447703344034</v>
      </c>
      <c r="AC30">
        <f t="shared" si="28"/>
        <v>6105174.5826635109</v>
      </c>
      <c r="AD30" s="11">
        <f t="shared" si="29"/>
        <v>335282.80733648874</v>
      </c>
      <c r="AE30" s="12">
        <f t="shared" si="10"/>
        <v>6312646.2886949889</v>
      </c>
      <c r="AF30">
        <f t="shared" si="11"/>
        <v>57262.475171091457</v>
      </c>
      <c r="AG30">
        <f t="shared" si="30"/>
        <v>6143222.270686022</v>
      </c>
      <c r="AH30" s="11">
        <f t="shared" si="31"/>
        <v>297235.11931397766</v>
      </c>
    </row>
    <row r="31" spans="1:34" x14ac:dyDescent="0.3">
      <c r="A31" s="13">
        <v>28</v>
      </c>
      <c r="B31" s="11">
        <v>6238267</v>
      </c>
      <c r="C31" s="12">
        <f t="shared" si="12"/>
        <v>6300648.585434054</v>
      </c>
      <c r="D31">
        <f t="shared" si="13"/>
        <v>53613.296425807675</v>
      </c>
      <c r="E31">
        <f t="shared" si="14"/>
        <v>6363030.170868108</v>
      </c>
      <c r="F31" s="11">
        <f t="shared" si="15"/>
        <v>-124763.17086810805</v>
      </c>
      <c r="G31" s="12">
        <f t="shared" si="16"/>
        <v>6275677.234483541</v>
      </c>
      <c r="H31">
        <f t="shared" si="17"/>
        <v>37342.935267276393</v>
      </c>
      <c r="I31">
        <f t="shared" si="18"/>
        <v>6291710.1921193451</v>
      </c>
      <c r="J31">
        <f t="shared" si="19"/>
        <v>-53443.192119345069</v>
      </c>
      <c r="K31" s="12">
        <f t="shared" si="0"/>
        <v>6293112.4293659125</v>
      </c>
      <c r="L31">
        <f t="shared" si="1"/>
        <v>41542.528842228538</v>
      </c>
      <c r="M31">
        <f t="shared" si="20"/>
        <v>6421085.097886377</v>
      </c>
      <c r="N31" s="11">
        <f t="shared" si="21"/>
        <v>-182818.09788637701</v>
      </c>
      <c r="O31" s="12">
        <f t="shared" si="2"/>
        <v>6260800.0509169381</v>
      </c>
      <c r="P31">
        <f t="shared" si="3"/>
        <v>32988.868842772485</v>
      </c>
      <c r="Q31">
        <f t="shared" si="22"/>
        <v>6463597.5091693792</v>
      </c>
      <c r="R31" s="11">
        <f t="shared" si="23"/>
        <v>-225330.50916937925</v>
      </c>
      <c r="S31" s="12">
        <f t="shared" si="4"/>
        <v>6284672.1482432941</v>
      </c>
      <c r="T31">
        <f t="shared" si="5"/>
        <v>36970.54090795439</v>
      </c>
      <c r="U31">
        <f t="shared" si="24"/>
        <v>6470292.7412164696</v>
      </c>
      <c r="V31" s="11">
        <f t="shared" si="25"/>
        <v>-232025.74121646956</v>
      </c>
      <c r="W31" s="12">
        <f t="shared" si="6"/>
        <v>6260201.403004407</v>
      </c>
      <c r="X31">
        <f t="shared" si="7"/>
        <v>37957.277035446285</v>
      </c>
      <c r="Y31">
        <f t="shared" si="26"/>
        <v>6265685.003755508</v>
      </c>
      <c r="Z31" s="11">
        <f t="shared" si="27"/>
        <v>-27418.003755507991</v>
      </c>
      <c r="AA31" s="12">
        <f t="shared" si="8"/>
        <v>6291105.4919808703</v>
      </c>
      <c r="AB31">
        <f t="shared" si="9"/>
        <v>62385.484778937767</v>
      </c>
      <c r="AC31">
        <f t="shared" si="28"/>
        <v>6326331.1533014504</v>
      </c>
      <c r="AD31" s="11">
        <f t="shared" si="29"/>
        <v>-88064.153301450424</v>
      </c>
      <c r="AE31" s="12">
        <f t="shared" si="10"/>
        <v>6294872.9584624143</v>
      </c>
      <c r="AF31">
        <f t="shared" si="11"/>
        <v>42255.314090358253</v>
      </c>
      <c r="AG31">
        <f t="shared" si="30"/>
        <v>6369908.76386608</v>
      </c>
      <c r="AH31" s="11">
        <f t="shared" si="31"/>
        <v>-131641.76386607997</v>
      </c>
    </row>
    <row r="32" spans="1:34" x14ac:dyDescent="0.3">
      <c r="A32" s="13">
        <v>29</v>
      </c>
      <c r="B32" s="11">
        <v>6468193.5</v>
      </c>
      <c r="C32" s="12">
        <f t="shared" si="12"/>
        <v>6411227.6909299307</v>
      </c>
      <c r="D32">
        <f t="shared" si="13"/>
        <v>82096.20096084215</v>
      </c>
      <c r="E32">
        <f t="shared" si="14"/>
        <v>6354261.8818598613</v>
      </c>
      <c r="F32" s="11">
        <f t="shared" si="15"/>
        <v>113931.61814013869</v>
      </c>
      <c r="G32" s="12">
        <f t="shared" si="16"/>
        <v>6359572.1688255714</v>
      </c>
      <c r="H32">
        <f t="shared" si="17"/>
        <v>41998.135174751798</v>
      </c>
      <c r="I32">
        <f t="shared" si="18"/>
        <v>6313020.1697508171</v>
      </c>
      <c r="J32">
        <f t="shared" si="19"/>
        <v>155173.33024918288</v>
      </c>
      <c r="K32" s="12">
        <f t="shared" si="0"/>
        <v>6428131.9374624416</v>
      </c>
      <c r="L32">
        <f t="shared" si="1"/>
        <v>64911.7736558037</v>
      </c>
      <c r="M32">
        <f t="shared" si="20"/>
        <v>6334654.9582081409</v>
      </c>
      <c r="N32" s="11">
        <f t="shared" si="21"/>
        <v>133538.54179185908</v>
      </c>
      <c r="O32" s="12">
        <f t="shared" si="2"/>
        <v>6450753.0419759713</v>
      </c>
      <c r="P32">
        <f t="shared" si="3"/>
        <v>48685.281064398558</v>
      </c>
      <c r="Q32">
        <f t="shared" si="22"/>
        <v>6293788.9197597103</v>
      </c>
      <c r="R32" s="11">
        <f t="shared" si="23"/>
        <v>174404.58024028968</v>
      </c>
      <c r="S32" s="12">
        <f t="shared" si="4"/>
        <v>6438883.3378302502</v>
      </c>
      <c r="T32">
        <f t="shared" si="5"/>
        <v>72142.735511654886</v>
      </c>
      <c r="U32">
        <f t="shared" si="24"/>
        <v>6321642.6891512489</v>
      </c>
      <c r="V32" s="11">
        <f t="shared" si="25"/>
        <v>146550.81084875111</v>
      </c>
      <c r="W32" s="12">
        <f t="shared" si="6"/>
        <v>6332165.6440318832</v>
      </c>
      <c r="X32">
        <f t="shared" si="7"/>
        <v>41357.973434649291</v>
      </c>
      <c r="Y32">
        <f t="shared" si="26"/>
        <v>6298158.6800398529</v>
      </c>
      <c r="Z32" s="11">
        <f t="shared" si="27"/>
        <v>170034.81996014714</v>
      </c>
      <c r="AA32" s="12">
        <f t="shared" si="8"/>
        <v>6399371.9860558845</v>
      </c>
      <c r="AB32">
        <f t="shared" si="9"/>
        <v>94502.191286191301</v>
      </c>
      <c r="AC32">
        <f t="shared" si="28"/>
        <v>6353490.9767598081</v>
      </c>
      <c r="AD32" s="11">
        <f t="shared" si="29"/>
        <v>114702.52324019186</v>
      </c>
      <c r="AE32" s="12">
        <f t="shared" si="10"/>
        <v>6411835.4521976914</v>
      </c>
      <c r="AF32">
        <f t="shared" si="11"/>
        <v>57196.75001934202</v>
      </c>
      <c r="AG32">
        <f t="shared" si="30"/>
        <v>6337128.2725527724</v>
      </c>
      <c r="AH32" s="11">
        <f t="shared" si="31"/>
        <v>131065.22744722757</v>
      </c>
    </row>
    <row r="33" spans="1:34" x14ac:dyDescent="0.3">
      <c r="A33" s="13">
        <v>30</v>
      </c>
      <c r="B33" s="11">
        <v>6393743.7999999998</v>
      </c>
      <c r="C33" s="12">
        <f t="shared" si="12"/>
        <v>6443533.8459453862</v>
      </c>
      <c r="D33">
        <f t="shared" si="13"/>
        <v>57201.177988148855</v>
      </c>
      <c r="E33">
        <f t="shared" si="14"/>
        <v>6493323.8918907726</v>
      </c>
      <c r="F33" s="11">
        <f t="shared" si="15"/>
        <v>-99580.091890772805</v>
      </c>
      <c r="G33" s="12">
        <f t="shared" si="16"/>
        <v>6399222.3528002258</v>
      </c>
      <c r="H33">
        <f t="shared" si="17"/>
        <v>41763.340054742061</v>
      </c>
      <c r="I33">
        <f t="shared" si="18"/>
        <v>6401570.3040003236</v>
      </c>
      <c r="J33">
        <f t="shared" si="19"/>
        <v>-7826.5040003238246</v>
      </c>
      <c r="K33" s="12">
        <f t="shared" si="0"/>
        <v>6423533.7733354736</v>
      </c>
      <c r="L33">
        <f t="shared" si="1"/>
        <v>47534.289210110772</v>
      </c>
      <c r="M33">
        <f t="shared" si="20"/>
        <v>6493043.7111182455</v>
      </c>
      <c r="N33" s="11">
        <f t="shared" si="21"/>
        <v>-99299.911118245684</v>
      </c>
      <c r="O33" s="12">
        <f t="shared" si="2"/>
        <v>6404313.2523040371</v>
      </c>
      <c r="P33">
        <f t="shared" si="3"/>
        <v>39172.773990765287</v>
      </c>
      <c r="Q33">
        <f t="shared" si="22"/>
        <v>6499438.3230403699</v>
      </c>
      <c r="R33" s="11">
        <f t="shared" si="23"/>
        <v>-105694.52304037008</v>
      </c>
      <c r="S33" s="12">
        <f t="shared" si="4"/>
        <v>6417200.2546683811</v>
      </c>
      <c r="T33">
        <f t="shared" si="5"/>
        <v>43994.989909597687</v>
      </c>
      <c r="U33">
        <f t="shared" si="24"/>
        <v>6511026.0733419051</v>
      </c>
      <c r="V33" s="11">
        <f t="shared" si="25"/>
        <v>-117282.27334190533</v>
      </c>
      <c r="W33" s="12">
        <f t="shared" si="6"/>
        <v>6377567.6539732264</v>
      </c>
      <c r="X33">
        <f t="shared" si="7"/>
        <v>41762.377085318687</v>
      </c>
      <c r="Y33">
        <f t="shared" si="26"/>
        <v>6373523.6174665326</v>
      </c>
      <c r="Z33" s="11">
        <f t="shared" si="27"/>
        <v>20220.182533467188</v>
      </c>
      <c r="AA33" s="12">
        <f t="shared" si="8"/>
        <v>6453822.0264052451</v>
      </c>
      <c r="AB33">
        <f t="shared" si="9"/>
        <v>66465.685630409775</v>
      </c>
      <c r="AC33">
        <f t="shared" si="28"/>
        <v>6493874.1773420759</v>
      </c>
      <c r="AD33" s="11">
        <f t="shared" si="29"/>
        <v>-100130.37734207604</v>
      </c>
      <c r="AE33" s="12">
        <f t="shared" si="10"/>
        <v>6426117.8129533241</v>
      </c>
      <c r="AF33">
        <f t="shared" si="11"/>
        <v>48613.872166600144</v>
      </c>
      <c r="AG33">
        <f t="shared" si="30"/>
        <v>6469032.2022170331</v>
      </c>
      <c r="AH33" s="11">
        <f t="shared" si="31"/>
        <v>-75288.402217033319</v>
      </c>
    </row>
    <row r="34" spans="1:34" x14ac:dyDescent="0.3">
      <c r="A34" s="13">
        <v>31</v>
      </c>
      <c r="B34" s="11">
        <v>6567725.0199999996</v>
      </c>
      <c r="C34" s="12">
        <f t="shared" si="12"/>
        <v>6534230.0219667675</v>
      </c>
      <c r="D34">
        <f t="shared" si="13"/>
        <v>73948.677004765064</v>
      </c>
      <c r="E34">
        <f t="shared" si="14"/>
        <v>6500735.0239335354</v>
      </c>
      <c r="F34" s="11">
        <f t="shared" si="15"/>
        <v>66989.996066464111</v>
      </c>
      <c r="G34" s="12">
        <f t="shared" si="16"/>
        <v>6479007.4909984777</v>
      </c>
      <c r="H34">
        <f t="shared" si="17"/>
        <v>45565.519869093041</v>
      </c>
      <c r="I34">
        <f t="shared" si="18"/>
        <v>6440985.6928549679</v>
      </c>
      <c r="J34">
        <f t="shared" si="19"/>
        <v>126739.32714503165</v>
      </c>
      <c r="K34" s="12">
        <f t="shared" si="0"/>
        <v>6538727.9327636752</v>
      </c>
      <c r="L34">
        <f t="shared" si="1"/>
        <v>64449.256764633479</v>
      </c>
      <c r="M34">
        <f t="shared" si="20"/>
        <v>6471068.0625455845</v>
      </c>
      <c r="N34" s="11">
        <f t="shared" si="21"/>
        <v>96656.957454415038</v>
      </c>
      <c r="O34" s="12">
        <f t="shared" si="2"/>
        <v>6555301.1206294801</v>
      </c>
      <c r="P34">
        <f t="shared" si="3"/>
        <v>50354.283424233057</v>
      </c>
      <c r="Q34">
        <f t="shared" si="22"/>
        <v>6443486.0262948023</v>
      </c>
      <c r="R34" s="11">
        <f t="shared" si="23"/>
        <v>124238.99370519724</v>
      </c>
      <c r="S34" s="12">
        <f t="shared" si="4"/>
        <v>6546419.0649155956</v>
      </c>
      <c r="T34">
        <f t="shared" si="5"/>
        <v>69562.136010882736</v>
      </c>
      <c r="U34">
        <f t="shared" si="24"/>
        <v>6461195.2445779787</v>
      </c>
      <c r="V34" s="11">
        <f t="shared" si="25"/>
        <v>106529.77542202082</v>
      </c>
      <c r="W34" s="12">
        <f t="shared" si="6"/>
        <v>6449009.0288468366</v>
      </c>
      <c r="X34">
        <f t="shared" si="7"/>
        <v>44730.276864147847</v>
      </c>
      <c r="Y34">
        <f t="shared" si="26"/>
        <v>6419330.0310585452</v>
      </c>
      <c r="Z34" s="11">
        <f t="shared" si="27"/>
        <v>148394.98894145433</v>
      </c>
      <c r="AA34" s="12">
        <f t="shared" si="8"/>
        <v>6539262.6352213928</v>
      </c>
      <c r="AB34">
        <f t="shared" si="9"/>
        <v>79748.13186042638</v>
      </c>
      <c r="AC34">
        <f t="shared" si="28"/>
        <v>6520287.712035655</v>
      </c>
      <c r="AD34" s="11">
        <f t="shared" si="29"/>
        <v>47437.307964344509</v>
      </c>
      <c r="AE34" s="12">
        <f t="shared" si="10"/>
        <v>6527737.8860015664</v>
      </c>
      <c r="AF34">
        <f t="shared" si="11"/>
        <v>59215.112342928594</v>
      </c>
      <c r="AG34">
        <f t="shared" si="30"/>
        <v>6474731.6851199241</v>
      </c>
      <c r="AH34" s="11">
        <f t="shared" si="31"/>
        <v>92993.334880075417</v>
      </c>
    </row>
    <row r="35" spans="1:34" x14ac:dyDescent="0.3">
      <c r="A35" s="13">
        <v>32</v>
      </c>
      <c r="B35" s="11">
        <v>6726135.25</v>
      </c>
      <c r="C35" s="12">
        <f t="shared" si="12"/>
        <v>6667156.9744857661</v>
      </c>
      <c r="D35">
        <f t="shared" si="13"/>
        <v>103437.81476188186</v>
      </c>
      <c r="E35">
        <f t="shared" si="14"/>
        <v>6608178.6989715323</v>
      </c>
      <c r="F35" s="11">
        <f t="shared" si="15"/>
        <v>117956.55102846771</v>
      </c>
      <c r="G35" s="12">
        <f t="shared" si="16"/>
        <v>6585041.6826072996</v>
      </c>
      <c r="H35">
        <f t="shared" si="17"/>
        <v>51612.387043065937</v>
      </c>
      <c r="I35">
        <f t="shared" si="18"/>
        <v>6524573.0108675705</v>
      </c>
      <c r="J35">
        <f t="shared" si="19"/>
        <v>201562.23913242947</v>
      </c>
      <c r="K35" s="12">
        <f t="shared" si="0"/>
        <v>6689247.8318584925</v>
      </c>
      <c r="L35">
        <f t="shared" si="1"/>
        <v>85966.91734717942</v>
      </c>
      <c r="M35">
        <f t="shared" si="20"/>
        <v>6603177.1895283088</v>
      </c>
      <c r="N35" s="11">
        <f t="shared" si="21"/>
        <v>122958.06047169119</v>
      </c>
      <c r="O35" s="12">
        <f t="shared" si="2"/>
        <v>6714087.2654053718</v>
      </c>
      <c r="P35">
        <f t="shared" si="3"/>
        <v>61197.469559398916</v>
      </c>
      <c r="Q35">
        <f t="shared" si="22"/>
        <v>6605655.4040537132</v>
      </c>
      <c r="R35" s="11">
        <f t="shared" si="23"/>
        <v>120479.8459462868</v>
      </c>
      <c r="S35" s="12">
        <f t="shared" si="4"/>
        <v>6704104.4401852954</v>
      </c>
      <c r="T35">
        <f t="shared" si="5"/>
        <v>95999.107788527865</v>
      </c>
      <c r="U35">
        <f t="shared" si="24"/>
        <v>6615981.200926478</v>
      </c>
      <c r="V35" s="11">
        <f t="shared" si="25"/>
        <v>110154.04907352198</v>
      </c>
      <c r="W35" s="12">
        <f t="shared" si="6"/>
        <v>6540218.4945687875</v>
      </c>
      <c r="X35">
        <f t="shared" si="7"/>
        <v>49378.195749928156</v>
      </c>
      <c r="Y35">
        <f t="shared" si="26"/>
        <v>6493739.3057109844</v>
      </c>
      <c r="Z35" s="11">
        <f t="shared" si="27"/>
        <v>232395.94428901561</v>
      </c>
      <c r="AA35" s="12">
        <f t="shared" si="8"/>
        <v>6661860.5602490921</v>
      </c>
      <c r="AB35">
        <f t="shared" si="9"/>
        <v>109742.98707751735</v>
      </c>
      <c r="AC35">
        <f t="shared" si="28"/>
        <v>6619010.7670818195</v>
      </c>
      <c r="AD35" s="11">
        <f t="shared" si="29"/>
        <v>107124.48291818053</v>
      </c>
      <c r="AE35" s="12">
        <f t="shared" si="10"/>
        <v>6666286.8817881327</v>
      </c>
      <c r="AF35">
        <f t="shared" si="11"/>
        <v>75081.889031656145</v>
      </c>
      <c r="AG35">
        <f t="shared" si="30"/>
        <v>6586952.998344495</v>
      </c>
      <c r="AH35" s="11">
        <f t="shared" si="31"/>
        <v>139182.25165550504</v>
      </c>
    </row>
    <row r="36" spans="1:34" x14ac:dyDescent="0.3">
      <c r="A36" s="13">
        <v>33</v>
      </c>
      <c r="B36" s="11">
        <v>6748574.0300000003</v>
      </c>
      <c r="C36" s="12">
        <f t="shared" si="12"/>
        <v>6759584.4096238241</v>
      </c>
      <c r="D36">
        <f t="shared" si="13"/>
        <v>97932.62494996989</v>
      </c>
      <c r="E36">
        <f t="shared" si="14"/>
        <v>6770594.7892476479</v>
      </c>
      <c r="F36" s="11">
        <f t="shared" si="15"/>
        <v>-22020.759247647598</v>
      </c>
      <c r="G36" s="12">
        <f t="shared" si="16"/>
        <v>6670230.0577552561</v>
      </c>
      <c r="H36">
        <f t="shared" si="17"/>
        <v>54969.985853554987</v>
      </c>
      <c r="I36">
        <f t="shared" si="18"/>
        <v>6636654.069650366</v>
      </c>
      <c r="J36">
        <f t="shared" si="19"/>
        <v>111919.96034963429</v>
      </c>
      <c r="K36" s="12">
        <f t="shared" si="0"/>
        <v>6756566.2457617018</v>
      </c>
      <c r="L36">
        <f t="shared" si="1"/>
        <v>81304.791486186907</v>
      </c>
      <c r="M36">
        <f t="shared" si="20"/>
        <v>6775214.7492056722</v>
      </c>
      <c r="N36" s="11">
        <f t="shared" si="21"/>
        <v>-26640.719205671921</v>
      </c>
      <c r="O36" s="12">
        <f t="shared" si="2"/>
        <v>6751245.1004964774</v>
      </c>
      <c r="P36">
        <f t="shared" si="3"/>
        <v>58793.506112569594</v>
      </c>
      <c r="Q36">
        <f t="shared" si="22"/>
        <v>6775284.7349647703</v>
      </c>
      <c r="R36" s="11">
        <f t="shared" si="23"/>
        <v>-26710.704964770004</v>
      </c>
      <c r="S36" s="12">
        <f t="shared" si="4"/>
        <v>6758879.9335947651</v>
      </c>
      <c r="T36">
        <f t="shared" si="5"/>
        <v>83632.023474810427</v>
      </c>
      <c r="U36">
        <f t="shared" si="24"/>
        <v>6800103.5479738237</v>
      </c>
      <c r="V36" s="11">
        <f t="shared" si="25"/>
        <v>-51529.517973823473</v>
      </c>
      <c r="W36" s="12">
        <f t="shared" si="6"/>
        <v>6621392.1582549727</v>
      </c>
      <c r="X36">
        <f t="shared" si="7"/>
        <v>52557.742543553861</v>
      </c>
      <c r="Y36">
        <f t="shared" si="26"/>
        <v>6589596.6903187158</v>
      </c>
      <c r="Z36" s="11">
        <f t="shared" si="27"/>
        <v>158977.3396812845</v>
      </c>
      <c r="AA36" s="12">
        <f t="shared" si="8"/>
        <v>6762391.7403959651</v>
      </c>
      <c r="AB36">
        <f t="shared" si="9"/>
        <v>103294.7222260663</v>
      </c>
      <c r="AC36">
        <f t="shared" si="28"/>
        <v>6771603.5473266095</v>
      </c>
      <c r="AD36" s="11">
        <f t="shared" si="29"/>
        <v>-23029.517326609232</v>
      </c>
      <c r="AE36" s="12">
        <f t="shared" si="10"/>
        <v>6745475.7685525101</v>
      </c>
      <c r="AF36">
        <f t="shared" si="11"/>
        <v>75903.288578200387</v>
      </c>
      <c r="AG36">
        <f t="shared" si="30"/>
        <v>6741368.7708197888</v>
      </c>
      <c r="AH36" s="11">
        <f t="shared" si="31"/>
        <v>7205.2591802114621</v>
      </c>
    </row>
    <row r="37" spans="1:34" x14ac:dyDescent="0.3">
      <c r="A37" s="13">
        <v>34</v>
      </c>
      <c r="B37" s="11">
        <v>6780844.54</v>
      </c>
      <c r="C37" s="12">
        <f t="shared" si="12"/>
        <v>6819180.7872868972</v>
      </c>
      <c r="D37">
        <f t="shared" si="13"/>
        <v>78764.501306521503</v>
      </c>
      <c r="E37">
        <f t="shared" si="14"/>
        <v>6857517.0345737943</v>
      </c>
      <c r="F37" s="11">
        <f t="shared" si="15"/>
        <v>-76672.494573794305</v>
      </c>
      <c r="G37" s="12">
        <f t="shared" si="16"/>
        <v>6741893.3925261665</v>
      </c>
      <c r="H37">
        <f t="shared" si="17"/>
        <v>56639.320745290534</v>
      </c>
      <c r="I37">
        <f t="shared" si="18"/>
        <v>6725200.0436088108</v>
      </c>
      <c r="J37">
        <f t="shared" si="19"/>
        <v>55644.496391189285</v>
      </c>
      <c r="K37" s="12">
        <f t="shared" ref="K37:K63" si="32">($M$2*B37)+(1-$M$2)*(K36+L36)</f>
        <v>6797952.489174366</v>
      </c>
      <c r="L37">
        <f t="shared" ref="L37:L63" si="33">$N$2*(K37-K36)+(1-$N$2)*L36</f>
        <v>71325.15446780622</v>
      </c>
      <c r="M37">
        <f t="shared" si="20"/>
        <v>6837871.0372478887</v>
      </c>
      <c r="N37" s="11">
        <f t="shared" si="21"/>
        <v>-57026.497247888707</v>
      </c>
      <c r="O37" s="12">
        <f t="shared" ref="O37:O63" si="34">($Q$2*B37)+(1-$Q$2)*(O36+P36)</f>
        <v>6783763.9466609042</v>
      </c>
      <c r="P37">
        <f t="shared" ref="P37:P63" si="35">$R$2*(O37-O36)+(1-$R$2)*P36</f>
        <v>56166.040117755314</v>
      </c>
      <c r="Q37">
        <f t="shared" si="22"/>
        <v>6810038.6066090474</v>
      </c>
      <c r="R37" s="11">
        <f t="shared" si="23"/>
        <v>-29194.066609047353</v>
      </c>
      <c r="S37" s="12">
        <f t="shared" ref="S37:S63" si="36">($U$2*B37)+(1-$U$2)*(S36+T36)</f>
        <v>6793178.0234139152</v>
      </c>
      <c r="T37">
        <f t="shared" ref="T37:T63" si="37">$V$2*(S37-S36)+(1-$V$2)*T36</f>
        <v>68831.843378112302</v>
      </c>
      <c r="U37">
        <f t="shared" si="24"/>
        <v>6842511.9570695758</v>
      </c>
      <c r="V37" s="11">
        <f t="shared" si="25"/>
        <v>-61667.417069575749</v>
      </c>
      <c r="W37" s="12">
        <f t="shared" ref="W37:W63" si="38">($Y$2*B37)+(1-$Y$2)*(W36+X36)</f>
        <v>6695328.8286388218</v>
      </c>
      <c r="X37">
        <f t="shared" ref="X37:X63" si="39">$Z$2*(W37-W36)+(1-$Z$2)*X36</f>
        <v>54695.635327583397</v>
      </c>
      <c r="Y37">
        <f t="shared" si="26"/>
        <v>6673949.9007985266</v>
      </c>
      <c r="Z37" s="11">
        <f t="shared" si="27"/>
        <v>106894.63920147344</v>
      </c>
      <c r="AA37" s="12">
        <f t="shared" ref="AA37:AA63" si="40">($AC$2*B37)+(1-$AC$2)*(AA36+AB36)</f>
        <v>6831749.6935732188</v>
      </c>
      <c r="AB37">
        <f t="shared" ref="AB37:AB63" si="41">$AD$2*(AA37-AA36)+(1-$AD$2)*AB36</f>
        <v>79538.983891897486</v>
      </c>
      <c r="AC37">
        <f t="shared" si="28"/>
        <v>6865686.4626220316</v>
      </c>
      <c r="AD37" s="11">
        <f t="shared" si="29"/>
        <v>-84841.922622031532</v>
      </c>
      <c r="AE37" s="12">
        <f t="shared" ref="AE37:AE63" si="42">($AG$2*B37)+(1-$AG$2)*(AE36+AF36)</f>
        <v>6798274.3823662056</v>
      </c>
      <c r="AF37">
        <f t="shared" ref="AF37:AF63" si="43">$AH$2*(AE37-AE36)+(1-$AH$2)*AF36</f>
        <v>71282.353625299409</v>
      </c>
      <c r="AG37">
        <f t="shared" si="30"/>
        <v>6821379.0571307102</v>
      </c>
      <c r="AH37" s="11">
        <f t="shared" si="31"/>
        <v>-40534.517130710185</v>
      </c>
    </row>
    <row r="38" spans="1:34" x14ac:dyDescent="0.3">
      <c r="A38" s="13">
        <v>35</v>
      </c>
      <c r="B38" s="11">
        <v>6817456.6799999997</v>
      </c>
      <c r="C38" s="12">
        <f t="shared" si="12"/>
        <v>6857700.9842967093</v>
      </c>
      <c r="D38">
        <f t="shared" si="13"/>
        <v>58642.349158166806</v>
      </c>
      <c r="E38">
        <f t="shared" si="14"/>
        <v>6897945.2885934189</v>
      </c>
      <c r="F38" s="11">
        <f t="shared" si="15"/>
        <v>-80488.608593419194</v>
      </c>
      <c r="G38" s="12">
        <f t="shared" si="16"/>
        <v>6804209.9032900194</v>
      </c>
      <c r="H38">
        <f t="shared" si="17"/>
        <v>57207.039747146766</v>
      </c>
      <c r="I38">
        <f t="shared" si="18"/>
        <v>6798532.7132714568</v>
      </c>
      <c r="J38">
        <f t="shared" si="19"/>
        <v>18923.966728542931</v>
      </c>
      <c r="K38" s="12">
        <f t="shared" si="32"/>
        <v>6833002.9690926513</v>
      </c>
      <c r="L38">
        <f t="shared" si="33"/>
        <v>62256.485830425983</v>
      </c>
      <c r="M38">
        <f t="shared" si="20"/>
        <v>6869277.6436421722</v>
      </c>
      <c r="N38" s="11">
        <f t="shared" si="21"/>
        <v>-51820.963642172515</v>
      </c>
      <c r="O38" s="12">
        <f t="shared" si="34"/>
        <v>6819704.0106778657</v>
      </c>
      <c r="P38">
        <f t="shared" si="35"/>
        <v>54143.442507675929</v>
      </c>
      <c r="Q38">
        <f t="shared" si="22"/>
        <v>6839929.9867786597</v>
      </c>
      <c r="R38" s="11">
        <f t="shared" si="23"/>
        <v>-22473.306778660044</v>
      </c>
      <c r="S38" s="12">
        <f t="shared" si="36"/>
        <v>6826367.3173584063</v>
      </c>
      <c r="T38">
        <f t="shared" si="37"/>
        <v>58139.078548025929</v>
      </c>
      <c r="U38">
        <f t="shared" si="24"/>
        <v>6862009.8667920278</v>
      </c>
      <c r="V38" s="11">
        <f t="shared" si="25"/>
        <v>-44553.186792028137</v>
      </c>
      <c r="W38" s="12">
        <f t="shared" si="38"/>
        <v>6763510.9071731241</v>
      </c>
      <c r="X38">
        <f t="shared" si="39"/>
        <v>56044.279648255295</v>
      </c>
      <c r="Y38">
        <f t="shared" si="26"/>
        <v>6750024.463966405</v>
      </c>
      <c r="Z38" s="11">
        <f t="shared" si="27"/>
        <v>67432.216033594683</v>
      </c>
      <c r="AA38" s="12">
        <f t="shared" si="40"/>
        <v>6873755.87847907</v>
      </c>
      <c r="AB38">
        <f t="shared" si="41"/>
        <v>53266.024601665129</v>
      </c>
      <c r="AC38">
        <f t="shared" si="28"/>
        <v>6911288.6774651166</v>
      </c>
      <c r="AD38" s="11">
        <f t="shared" si="29"/>
        <v>-93831.997465116903</v>
      </c>
      <c r="AE38" s="12">
        <f t="shared" si="42"/>
        <v>6839859.7040763469</v>
      </c>
      <c r="AF38">
        <f t="shared" si="43"/>
        <v>65342.947242267808</v>
      </c>
      <c r="AG38">
        <f t="shared" si="30"/>
        <v>6869556.735991505</v>
      </c>
      <c r="AH38" s="11">
        <f t="shared" si="31"/>
        <v>-52100.055991505273</v>
      </c>
    </row>
    <row r="39" spans="1:34" x14ac:dyDescent="0.3">
      <c r="A39" s="13">
        <v>36</v>
      </c>
      <c r="B39" s="11">
        <v>6900049.4900000002</v>
      </c>
      <c r="C39" s="12">
        <f t="shared" si="12"/>
        <v>6908196.4117274377</v>
      </c>
      <c r="D39">
        <f t="shared" si="13"/>
        <v>54568.888294447628</v>
      </c>
      <c r="E39">
        <f t="shared" si="14"/>
        <v>6916343.3334548762</v>
      </c>
      <c r="F39" s="11">
        <f t="shared" si="15"/>
        <v>-16293.843454875983</v>
      </c>
      <c r="G39" s="12">
        <f t="shared" si="16"/>
        <v>6873006.7071260158</v>
      </c>
      <c r="H39">
        <f t="shared" si="17"/>
        <v>58366.016156031736</v>
      </c>
      <c r="I39">
        <f t="shared" si="18"/>
        <v>6861416.9430371663</v>
      </c>
      <c r="J39">
        <f t="shared" si="19"/>
        <v>38632.546962833963</v>
      </c>
      <c r="K39" s="12">
        <f t="shared" si="32"/>
        <v>6898612.4794769241</v>
      </c>
      <c r="L39">
        <f t="shared" si="33"/>
        <v>63094.741968887683</v>
      </c>
      <c r="M39">
        <f t="shared" si="20"/>
        <v>6895259.4549230775</v>
      </c>
      <c r="N39" s="11">
        <f t="shared" si="21"/>
        <v>4790.0350769227371</v>
      </c>
      <c r="O39" s="12">
        <f t="shared" si="34"/>
        <v>6897429.2863185545</v>
      </c>
      <c r="P39">
        <f t="shared" si="35"/>
        <v>56501.62582097722</v>
      </c>
      <c r="Q39">
        <f t="shared" si="22"/>
        <v>6873847.4531855416</v>
      </c>
      <c r="R39" s="11">
        <f t="shared" si="23"/>
        <v>26202.036814458668</v>
      </c>
      <c r="S39" s="12">
        <f t="shared" si="36"/>
        <v>6896940.8711812869</v>
      </c>
      <c r="T39">
        <f t="shared" si="37"/>
        <v>61869.421130482326</v>
      </c>
      <c r="U39">
        <f t="shared" si="24"/>
        <v>6884506.3959064325</v>
      </c>
      <c r="V39" s="11">
        <f t="shared" si="25"/>
        <v>15543.094093567692</v>
      </c>
      <c r="W39" s="12">
        <f t="shared" si="38"/>
        <v>6835654.0474571045</v>
      </c>
      <c r="X39">
        <f t="shared" si="39"/>
        <v>57654.165711827809</v>
      </c>
      <c r="Y39">
        <f t="shared" si="26"/>
        <v>6819555.1868213797</v>
      </c>
      <c r="Z39" s="11">
        <f t="shared" si="27"/>
        <v>80494.303178620525</v>
      </c>
      <c r="AA39" s="12">
        <f t="shared" si="40"/>
        <v>6916232.9378484413</v>
      </c>
      <c r="AB39">
        <f t="shared" si="41"/>
        <v>45713.748939059427</v>
      </c>
      <c r="AC39">
        <f t="shared" si="28"/>
        <v>6927021.9030807354</v>
      </c>
      <c r="AD39" s="11">
        <f t="shared" si="29"/>
        <v>-26972.413080735132</v>
      </c>
      <c r="AE39" s="12">
        <f t="shared" si="42"/>
        <v>6902265.3493670039</v>
      </c>
      <c r="AF39">
        <f t="shared" si="43"/>
        <v>64755.486851945636</v>
      </c>
      <c r="AG39">
        <f t="shared" si="30"/>
        <v>6905202.6513186144</v>
      </c>
      <c r="AH39" s="11">
        <f t="shared" si="31"/>
        <v>-5153.1613186141476</v>
      </c>
    </row>
    <row r="40" spans="1:34" x14ac:dyDescent="0.3">
      <c r="A40" s="13">
        <v>37</v>
      </c>
      <c r="B40" s="11">
        <v>6767407.6500000004</v>
      </c>
      <c r="C40" s="12">
        <f t="shared" si="12"/>
        <v>6865086.4750109427</v>
      </c>
      <c r="D40">
        <f t="shared" si="13"/>
        <v>5729.4757889762732</v>
      </c>
      <c r="E40">
        <f t="shared" si="14"/>
        <v>6962765.300021885</v>
      </c>
      <c r="F40" s="11">
        <f t="shared" si="15"/>
        <v>-195357.65002188459</v>
      </c>
      <c r="G40" s="12">
        <f t="shared" si="16"/>
        <v>6882183.2012974331</v>
      </c>
      <c r="H40">
        <f t="shared" si="17"/>
        <v>53447.063957570295</v>
      </c>
      <c r="I40">
        <f t="shared" si="18"/>
        <v>6931372.7232820475</v>
      </c>
      <c r="J40">
        <f t="shared" si="19"/>
        <v>-163965.07328204717</v>
      </c>
      <c r="K40" s="12">
        <f t="shared" si="32"/>
        <v>6825697.5214337436</v>
      </c>
      <c r="L40">
        <f t="shared" si="33"/>
        <v>29092.316965870661</v>
      </c>
      <c r="M40">
        <f t="shared" si="20"/>
        <v>6961707.2214458119</v>
      </c>
      <c r="N40" s="11">
        <f t="shared" si="21"/>
        <v>-194299.57144581154</v>
      </c>
      <c r="O40" s="12">
        <f t="shared" si="34"/>
        <v>6786059.9762139535</v>
      </c>
      <c r="P40">
        <f t="shared" si="35"/>
        <v>39714.53222841939</v>
      </c>
      <c r="Q40">
        <f t="shared" si="22"/>
        <v>6953930.9121395322</v>
      </c>
      <c r="R40" s="11">
        <f t="shared" si="23"/>
        <v>-186523.26213953178</v>
      </c>
      <c r="S40" s="12">
        <f t="shared" si="36"/>
        <v>6805688.1784623545</v>
      </c>
      <c r="T40">
        <f t="shared" si="37"/>
        <v>15932.786975657902</v>
      </c>
      <c r="U40">
        <f t="shared" si="24"/>
        <v>6958810.292311769</v>
      </c>
      <c r="V40" s="11">
        <f t="shared" si="25"/>
        <v>-191402.64231176861</v>
      </c>
      <c r="W40" s="12">
        <f t="shared" si="38"/>
        <v>6868128.100535146</v>
      </c>
      <c r="X40">
        <f t="shared" si="39"/>
        <v>55136.154448449168</v>
      </c>
      <c r="Y40">
        <f t="shared" si="26"/>
        <v>6893308.2131689321</v>
      </c>
      <c r="Z40" s="11">
        <f t="shared" si="27"/>
        <v>-125900.56316893175</v>
      </c>
      <c r="AA40" s="12">
        <f t="shared" si="40"/>
        <v>6884131.0720725004</v>
      </c>
      <c r="AB40">
        <f t="shared" si="41"/>
        <v>-8757.1813614408256</v>
      </c>
      <c r="AC40">
        <f t="shared" si="28"/>
        <v>6961946.686787501</v>
      </c>
      <c r="AD40" s="11">
        <f t="shared" si="29"/>
        <v>-194539.0367875006</v>
      </c>
      <c r="AE40" s="12">
        <f t="shared" si="42"/>
        <v>6853241.3200741485</v>
      </c>
      <c r="AF40">
        <f t="shared" si="43"/>
        <v>41999.583622985432</v>
      </c>
      <c r="AG40">
        <f t="shared" si="30"/>
        <v>6967020.8362189494</v>
      </c>
      <c r="AH40" s="11">
        <f t="shared" si="31"/>
        <v>-199613.18621894903</v>
      </c>
    </row>
    <row r="41" spans="1:34" x14ac:dyDescent="0.3">
      <c r="A41" s="13">
        <v>38</v>
      </c>
      <c r="B41" s="11">
        <v>6817787.9100000001</v>
      </c>
      <c r="C41" s="12">
        <f t="shared" si="12"/>
        <v>6844301.9303999599</v>
      </c>
      <c r="D41">
        <f t="shared" si="13"/>
        <v>-7527.5344110032438</v>
      </c>
      <c r="E41">
        <f t="shared" si="14"/>
        <v>6870815.9507999187</v>
      </c>
      <c r="F41" s="11">
        <f t="shared" si="15"/>
        <v>-53028.040799918585</v>
      </c>
      <c r="G41" s="12">
        <f t="shared" si="16"/>
        <v>6900277.5586785013</v>
      </c>
      <c r="H41">
        <f t="shared" si="17"/>
        <v>49911.793299920086</v>
      </c>
      <c r="I41">
        <f t="shared" si="18"/>
        <v>6935630.2652550032</v>
      </c>
      <c r="J41">
        <f t="shared" si="19"/>
        <v>-117842.35525500309</v>
      </c>
      <c r="K41" s="12">
        <f t="shared" si="32"/>
        <v>6828888.4885198846</v>
      </c>
      <c r="L41">
        <f t="shared" si="33"/>
        <v>22616.979495938245</v>
      </c>
      <c r="M41">
        <f t="shared" si="20"/>
        <v>6854789.8383996142</v>
      </c>
      <c r="N41" s="11">
        <f t="shared" si="21"/>
        <v>-37001.928399614058</v>
      </c>
      <c r="O41" s="12">
        <f t="shared" si="34"/>
        <v>6818586.5698442366</v>
      </c>
      <c r="P41">
        <f t="shared" si="35"/>
        <v>38995.738368605766</v>
      </c>
      <c r="Q41">
        <f t="shared" si="22"/>
        <v>6825774.508442373</v>
      </c>
      <c r="R41" s="11">
        <f t="shared" si="23"/>
        <v>-7986.598442372866</v>
      </c>
      <c r="S41" s="12">
        <f t="shared" si="36"/>
        <v>6818554.5210876027</v>
      </c>
      <c r="T41">
        <f t="shared" si="37"/>
        <v>15012.853670535005</v>
      </c>
      <c r="U41">
        <f t="shared" si="24"/>
        <v>6821620.965438012</v>
      </c>
      <c r="V41" s="11">
        <f t="shared" si="25"/>
        <v>-3833.0554380118847</v>
      </c>
      <c r="W41" s="12">
        <f t="shared" si="38"/>
        <v>6902168.9859868772</v>
      </c>
      <c r="X41">
        <f t="shared" si="39"/>
        <v>53026.627548777382</v>
      </c>
      <c r="Y41">
        <f t="shared" si="26"/>
        <v>6923264.2549835956</v>
      </c>
      <c r="Z41" s="11">
        <f t="shared" si="27"/>
        <v>-105476.34498359542</v>
      </c>
      <c r="AA41" s="12">
        <f t="shared" si="40"/>
        <v>6852339.4984266367</v>
      </c>
      <c r="AB41">
        <f t="shared" si="41"/>
        <v>-24881.255960536826</v>
      </c>
      <c r="AC41">
        <f t="shared" si="28"/>
        <v>6875373.8907110598</v>
      </c>
      <c r="AD41" s="11">
        <f t="shared" si="29"/>
        <v>-57585.980711059645</v>
      </c>
      <c r="AE41" s="12">
        <f t="shared" si="42"/>
        <v>6851092.6972897677</v>
      </c>
      <c r="AF41">
        <f t="shared" si="43"/>
        <v>33169.942341512193</v>
      </c>
      <c r="AG41">
        <f t="shared" si="30"/>
        <v>6895240.903697134</v>
      </c>
      <c r="AH41" s="11">
        <f t="shared" si="31"/>
        <v>-77452.993697133847</v>
      </c>
    </row>
    <row r="42" spans="1:34" x14ac:dyDescent="0.3">
      <c r="A42" s="13">
        <v>39</v>
      </c>
      <c r="B42" s="11">
        <v>6895564.1200000001</v>
      </c>
      <c r="C42" s="12">
        <f t="shared" si="12"/>
        <v>6866169.2579944786</v>
      </c>
      <c r="D42">
        <f t="shared" si="13"/>
        <v>7169.8965917577088</v>
      </c>
      <c r="E42">
        <f t="shared" si="14"/>
        <v>6836774.395988957</v>
      </c>
      <c r="F42" s="11">
        <f t="shared" si="15"/>
        <v>58789.724011043087</v>
      </c>
      <c r="G42" s="12">
        <f t="shared" si="16"/>
        <v>6933801.7823848948</v>
      </c>
      <c r="H42">
        <f t="shared" si="17"/>
        <v>48273.036340567429</v>
      </c>
      <c r="I42">
        <f t="shared" si="18"/>
        <v>6950189.3519784212</v>
      </c>
      <c r="J42">
        <f t="shared" si="19"/>
        <v>-54625.231978421099</v>
      </c>
      <c r="K42" s="12">
        <f t="shared" si="32"/>
        <v>6882346.5244047465</v>
      </c>
      <c r="L42">
        <f t="shared" si="33"/>
        <v>30327.243593169143</v>
      </c>
      <c r="M42">
        <f t="shared" si="20"/>
        <v>6851505.4680158226</v>
      </c>
      <c r="N42" s="11">
        <f t="shared" si="21"/>
        <v>44058.65198417753</v>
      </c>
      <c r="O42" s="12">
        <f t="shared" si="34"/>
        <v>6891765.938821285</v>
      </c>
      <c r="P42">
        <f t="shared" si="35"/>
        <v>42414.101429450035</v>
      </c>
      <c r="Q42">
        <f t="shared" si="22"/>
        <v>6857582.3082128428</v>
      </c>
      <c r="R42" s="11">
        <f t="shared" si="23"/>
        <v>37981.811787157319</v>
      </c>
      <c r="S42" s="12">
        <f t="shared" si="36"/>
        <v>6883164.7709516268</v>
      </c>
      <c r="T42">
        <f t="shared" si="37"/>
        <v>29892.072528581735</v>
      </c>
      <c r="U42">
        <f t="shared" si="24"/>
        <v>6833567.3747581374</v>
      </c>
      <c r="V42" s="11">
        <f t="shared" si="25"/>
        <v>61996.745241862722</v>
      </c>
      <c r="W42" s="12">
        <f t="shared" si="38"/>
        <v>6943269.3148285244</v>
      </c>
      <c r="X42">
        <f t="shared" si="39"/>
        <v>51833.997678064356</v>
      </c>
      <c r="Y42">
        <f t="shared" si="26"/>
        <v>6955195.6135356547</v>
      </c>
      <c r="Z42" s="11">
        <f t="shared" si="27"/>
        <v>-59631.493535654619</v>
      </c>
      <c r="AA42" s="12">
        <f t="shared" si="40"/>
        <v>6854700.5934796594</v>
      </c>
      <c r="AB42">
        <f t="shared" si="41"/>
        <v>-5811.6102510451401</v>
      </c>
      <c r="AC42">
        <f t="shared" si="28"/>
        <v>6827458.2424660996</v>
      </c>
      <c r="AD42" s="11">
        <f t="shared" si="29"/>
        <v>68105.877533900551</v>
      </c>
      <c r="AE42" s="12">
        <f t="shared" si="42"/>
        <v>6890704.4834414497</v>
      </c>
      <c r="AF42">
        <f t="shared" si="43"/>
        <v>34458.311103546162</v>
      </c>
      <c r="AG42">
        <f t="shared" si="30"/>
        <v>6884262.6396312797</v>
      </c>
      <c r="AH42" s="11">
        <f t="shared" si="31"/>
        <v>11301.480368720368</v>
      </c>
    </row>
    <row r="43" spans="1:34" x14ac:dyDescent="0.3">
      <c r="A43" s="13">
        <v>40</v>
      </c>
      <c r="B43" s="11">
        <v>6964386.4900000002</v>
      </c>
      <c r="C43" s="12">
        <f t="shared" si="12"/>
        <v>6918862.8222931176</v>
      </c>
      <c r="D43">
        <f t="shared" si="13"/>
        <v>29931.730445198391</v>
      </c>
      <c r="E43">
        <f t="shared" si="14"/>
        <v>6873339.154586236</v>
      </c>
      <c r="F43" s="11">
        <f t="shared" si="15"/>
        <v>91047.335413764231</v>
      </c>
      <c r="G43" s="12">
        <f t="shared" si="16"/>
        <v>6976768.3201078232</v>
      </c>
      <c r="H43">
        <f t="shared" si="17"/>
        <v>47742.386478803535</v>
      </c>
      <c r="I43">
        <f t="shared" si="18"/>
        <v>6982074.8187254621</v>
      </c>
      <c r="J43">
        <f t="shared" si="19"/>
        <v>-17688.328725461848</v>
      </c>
      <c r="K43" s="12">
        <f t="shared" si="32"/>
        <v>6948872.6733993748</v>
      </c>
      <c r="L43">
        <f t="shared" si="33"/>
        <v>39376.969943533943</v>
      </c>
      <c r="M43">
        <f t="shared" si="20"/>
        <v>6912673.7679979159</v>
      </c>
      <c r="N43" s="11">
        <f t="shared" si="21"/>
        <v>51712.722002084367</v>
      </c>
      <c r="O43" s="12">
        <f t="shared" si="34"/>
        <v>6961365.8450250737</v>
      </c>
      <c r="P43">
        <f t="shared" si="35"/>
        <v>45132.681906883903</v>
      </c>
      <c r="Q43">
        <f t="shared" si="22"/>
        <v>6934180.0402507354</v>
      </c>
      <c r="R43" s="11">
        <f t="shared" si="23"/>
        <v>30206.449749264866</v>
      </c>
      <c r="S43" s="12">
        <f t="shared" si="36"/>
        <v>6954120.5606960421</v>
      </c>
      <c r="T43">
        <f t="shared" si="37"/>
        <v>42211.187693331813</v>
      </c>
      <c r="U43">
        <f t="shared" si="24"/>
        <v>6913056.8434802089</v>
      </c>
      <c r="V43" s="11">
        <f t="shared" si="25"/>
        <v>51329.646519791335</v>
      </c>
      <c r="W43" s="12">
        <f t="shared" si="38"/>
        <v>6988959.9480052721</v>
      </c>
      <c r="X43">
        <f t="shared" si="39"/>
        <v>51219.661227932695</v>
      </c>
      <c r="Y43">
        <f t="shared" si="26"/>
        <v>6995103.3125065891</v>
      </c>
      <c r="Z43" s="11">
        <f t="shared" si="27"/>
        <v>-30716.822506588884</v>
      </c>
      <c r="AA43" s="12">
        <f t="shared" si="40"/>
        <v>6895087.9859371688</v>
      </c>
      <c r="AB43">
        <f t="shared" si="41"/>
        <v>26527.691644943046</v>
      </c>
      <c r="AC43">
        <f t="shared" si="28"/>
        <v>6848888.9832286146</v>
      </c>
      <c r="AD43" s="11">
        <f t="shared" si="29"/>
        <v>115497.50677138567</v>
      </c>
      <c r="AE43" s="12">
        <f t="shared" si="42"/>
        <v>6947520.3009543475</v>
      </c>
      <c r="AF43">
        <f t="shared" si="43"/>
        <v>38929.812385416488</v>
      </c>
      <c r="AG43">
        <f t="shared" si="30"/>
        <v>6925162.7945449958</v>
      </c>
      <c r="AH43" s="11">
        <f t="shared" si="31"/>
        <v>39223.695455004461</v>
      </c>
    </row>
    <row r="44" spans="1:34" x14ac:dyDescent="0.3">
      <c r="A44" s="13">
        <v>41</v>
      </c>
      <c r="B44" s="11">
        <v>7004093.0800000001</v>
      </c>
      <c r="C44" s="12">
        <f t="shared" si="12"/>
        <v>6976443.8163691582</v>
      </c>
      <c r="D44">
        <f t="shared" si="13"/>
        <v>43756.362260619484</v>
      </c>
      <c r="E44">
        <f t="shared" si="14"/>
        <v>6948794.5527383164</v>
      </c>
      <c r="F44" s="11">
        <f t="shared" si="15"/>
        <v>55298.527261683717</v>
      </c>
      <c r="G44" s="12">
        <f t="shared" si="16"/>
        <v>7018385.418610638</v>
      </c>
      <c r="H44">
        <f t="shared" si="17"/>
        <v>47129.857681204659</v>
      </c>
      <c r="I44">
        <f t="shared" si="18"/>
        <v>7024510.7065866264</v>
      </c>
      <c r="J44">
        <f t="shared" si="19"/>
        <v>-20417.626586626284</v>
      </c>
      <c r="K44" s="12">
        <f t="shared" si="32"/>
        <v>6999340.0490028728</v>
      </c>
      <c r="L44">
        <f t="shared" si="33"/>
        <v>42149.571358524947</v>
      </c>
      <c r="M44">
        <f t="shared" si="20"/>
        <v>6988249.6433429085</v>
      </c>
      <c r="N44" s="11">
        <f t="shared" si="21"/>
        <v>15843.436657091603</v>
      </c>
      <c r="O44" s="12">
        <f t="shared" si="34"/>
        <v>7004333.6246931953</v>
      </c>
      <c r="P44">
        <f t="shared" si="35"/>
        <v>44916.191683007673</v>
      </c>
      <c r="Q44">
        <f t="shared" si="22"/>
        <v>7006498.5269319573</v>
      </c>
      <c r="R44" s="11">
        <f t="shared" si="23"/>
        <v>-2405.4469319572672</v>
      </c>
      <c r="S44" s="12">
        <f t="shared" si="36"/>
        <v>7002540.8136778753</v>
      </c>
      <c r="T44">
        <f t="shared" si="37"/>
        <v>44073.907279882216</v>
      </c>
      <c r="U44">
        <f t="shared" si="24"/>
        <v>6996331.7483893735</v>
      </c>
      <c r="V44" s="11">
        <f t="shared" si="25"/>
        <v>7761.3316106265411</v>
      </c>
      <c r="W44" s="12">
        <f t="shared" si="38"/>
        <v>7032962.3033865653</v>
      </c>
      <c r="X44">
        <f t="shared" si="39"/>
        <v>50497.930643268752</v>
      </c>
      <c r="Y44">
        <f t="shared" si="26"/>
        <v>7040179.6092332052</v>
      </c>
      <c r="Z44" s="11">
        <f t="shared" si="27"/>
        <v>-36086.529233205132</v>
      </c>
      <c r="AA44" s="12">
        <f t="shared" si="40"/>
        <v>6954606.6385492673</v>
      </c>
      <c r="AB44">
        <f t="shared" si="41"/>
        <v>49621.364321951856</v>
      </c>
      <c r="AC44">
        <f t="shared" si="28"/>
        <v>6921615.6775821121</v>
      </c>
      <c r="AD44" s="11">
        <f t="shared" si="29"/>
        <v>82477.402417887934</v>
      </c>
      <c r="AE44" s="12">
        <f t="shared" si="42"/>
        <v>6996506.6043360978</v>
      </c>
      <c r="AF44">
        <f t="shared" si="43"/>
        <v>40941.110584683265</v>
      </c>
      <c r="AG44">
        <f t="shared" si="30"/>
        <v>6986450.1133397641</v>
      </c>
      <c r="AH44" s="11">
        <f t="shared" si="31"/>
        <v>17642.966660236008</v>
      </c>
    </row>
    <row r="45" spans="1:34" x14ac:dyDescent="0.3">
      <c r="A45" s="13">
        <v>42</v>
      </c>
      <c r="B45" s="11">
        <v>7130061.4199999999</v>
      </c>
      <c r="C45" s="12">
        <f t="shared" si="12"/>
        <v>7075130.7993148882</v>
      </c>
      <c r="D45">
        <f t="shared" si="13"/>
        <v>71221.672603174724</v>
      </c>
      <c r="E45">
        <f t="shared" si="14"/>
        <v>7020200.1786297774</v>
      </c>
      <c r="F45" s="11">
        <f t="shared" si="15"/>
        <v>109861.24137022253</v>
      </c>
      <c r="G45" s="12">
        <f t="shared" si="16"/>
        <v>7084879.1194042899</v>
      </c>
      <c r="H45">
        <f t="shared" si="17"/>
        <v>49066.241992449381</v>
      </c>
      <c r="I45">
        <f t="shared" si="18"/>
        <v>7065515.2762918426</v>
      </c>
      <c r="J45">
        <f t="shared" si="19"/>
        <v>64546.143708157353</v>
      </c>
      <c r="K45" s="12">
        <f t="shared" si="32"/>
        <v>7103489.8801084198</v>
      </c>
      <c r="L45">
        <f t="shared" si="33"/>
        <v>57649.636295280463</v>
      </c>
      <c r="M45">
        <f t="shared" si="20"/>
        <v>7041489.620361398</v>
      </c>
      <c r="N45" s="11">
        <f t="shared" si="21"/>
        <v>88571.799638601951</v>
      </c>
      <c r="O45" s="12">
        <f t="shared" si="34"/>
        <v>7121980.2596376203</v>
      </c>
      <c r="P45">
        <f t="shared" si="35"/>
        <v>52189.236009149405</v>
      </c>
      <c r="Q45">
        <f t="shared" si="22"/>
        <v>7049249.8163762027</v>
      </c>
      <c r="R45" s="11">
        <f t="shared" si="23"/>
        <v>80811.603623797186</v>
      </c>
      <c r="S45" s="12">
        <f t="shared" si="36"/>
        <v>7113372.0801915508</v>
      </c>
      <c r="T45">
        <f t="shared" si="37"/>
        <v>64101.115050020177</v>
      </c>
      <c r="U45">
        <f t="shared" si="24"/>
        <v>7046614.7209577579</v>
      </c>
      <c r="V45" s="11">
        <f t="shared" si="25"/>
        <v>83446.69904224202</v>
      </c>
      <c r="W45" s="12">
        <f t="shared" si="38"/>
        <v>7092780.4712238675</v>
      </c>
      <c r="X45">
        <f t="shared" si="39"/>
        <v>51429.954362672099</v>
      </c>
      <c r="Y45">
        <f t="shared" si="26"/>
        <v>7083460.2340298342</v>
      </c>
      <c r="Z45" s="11">
        <f t="shared" si="27"/>
        <v>46601.185970165767</v>
      </c>
      <c r="AA45" s="12">
        <f t="shared" si="40"/>
        <v>7054561.3697227314</v>
      </c>
      <c r="AB45">
        <f t="shared" si="41"/>
        <v>84854.721118010435</v>
      </c>
      <c r="AC45">
        <f t="shared" si="28"/>
        <v>7004228.0028712191</v>
      </c>
      <c r="AD45" s="11">
        <f t="shared" si="29"/>
        <v>125833.41712878086</v>
      </c>
      <c r="AE45" s="12">
        <f t="shared" si="42"/>
        <v>7090237.526815936</v>
      </c>
      <c r="AF45">
        <f t="shared" si="43"/>
        <v>51499.072963714236</v>
      </c>
      <c r="AG45">
        <f t="shared" si="30"/>
        <v>7037447.7149207816</v>
      </c>
      <c r="AH45" s="11">
        <f t="shared" si="31"/>
        <v>92613.705079218373</v>
      </c>
    </row>
    <row r="46" spans="1:34" x14ac:dyDescent="0.3">
      <c r="A46" s="13">
        <v>43</v>
      </c>
      <c r="B46" s="11">
        <v>7160560.3300000001</v>
      </c>
      <c r="C46" s="12">
        <f t="shared" si="12"/>
        <v>7153456.4009590317</v>
      </c>
      <c r="D46">
        <f t="shared" si="13"/>
        <v>74773.637123659093</v>
      </c>
      <c r="E46">
        <f t="shared" si="14"/>
        <v>7146352.4719180632</v>
      </c>
      <c r="F46" s="11">
        <f t="shared" si="15"/>
        <v>14207.858081936836</v>
      </c>
      <c r="G46" s="12">
        <f t="shared" si="16"/>
        <v>7141929.8519777171</v>
      </c>
      <c r="H46">
        <f t="shared" si="17"/>
        <v>49864.691050547175</v>
      </c>
      <c r="I46">
        <f t="shared" si="18"/>
        <v>7133945.3613967393</v>
      </c>
      <c r="J46">
        <f t="shared" si="19"/>
        <v>26614.968603260815</v>
      </c>
      <c r="K46" s="12">
        <f t="shared" si="32"/>
        <v>7160734.0859211106</v>
      </c>
      <c r="L46">
        <f t="shared" si="33"/>
        <v>57548.278674633038</v>
      </c>
      <c r="M46">
        <f t="shared" si="20"/>
        <v>7161139.5164037002</v>
      </c>
      <c r="N46" s="11">
        <f t="shared" si="21"/>
        <v>-579.18640370015055</v>
      </c>
      <c r="O46" s="12">
        <f t="shared" si="34"/>
        <v>7161921.246564677</v>
      </c>
      <c r="P46">
        <f t="shared" si="35"/>
        <v>50964.411100940131</v>
      </c>
      <c r="Q46">
        <f t="shared" si="22"/>
        <v>7174169.4956467701</v>
      </c>
      <c r="R46" s="11">
        <f t="shared" si="23"/>
        <v>-13609.165646770038</v>
      </c>
      <c r="S46" s="12">
        <f t="shared" si="36"/>
        <v>7163942.9030483142</v>
      </c>
      <c r="T46">
        <f t="shared" si="37"/>
        <v>60042.027392043135</v>
      </c>
      <c r="U46">
        <f t="shared" si="24"/>
        <v>7177473.1952415714</v>
      </c>
      <c r="V46" s="11">
        <f t="shared" si="25"/>
        <v>-16912.86524157133</v>
      </c>
      <c r="W46" s="12">
        <f t="shared" si="38"/>
        <v>7147480.4064692315</v>
      </c>
      <c r="X46">
        <f t="shared" si="39"/>
        <v>51756.952450941288</v>
      </c>
      <c r="Y46">
        <f t="shared" si="26"/>
        <v>7144210.4255865393</v>
      </c>
      <c r="Z46" s="11">
        <f t="shared" si="27"/>
        <v>16349.904413460754</v>
      </c>
      <c r="AA46" s="12">
        <f t="shared" si="40"/>
        <v>7147873.7865044456</v>
      </c>
      <c r="AB46">
        <f t="shared" si="41"/>
        <v>90775.108082603052</v>
      </c>
      <c r="AC46">
        <f t="shared" si="28"/>
        <v>7139416.090840742</v>
      </c>
      <c r="AD46" s="11">
        <f t="shared" si="29"/>
        <v>21144.239159258083</v>
      </c>
      <c r="AE46" s="12">
        <f t="shared" si="42"/>
        <v>7152466.1260052491</v>
      </c>
      <c r="AF46">
        <f t="shared" si="43"/>
        <v>53644.978208834022</v>
      </c>
      <c r="AG46">
        <f t="shared" si="30"/>
        <v>7141736.5997796506</v>
      </c>
      <c r="AH46" s="11">
        <f t="shared" si="31"/>
        <v>18823.730220349506</v>
      </c>
    </row>
    <row r="47" spans="1:34" x14ac:dyDescent="0.3">
      <c r="A47" s="13">
        <v>44</v>
      </c>
      <c r="B47" s="11">
        <v>7211500.7199999997</v>
      </c>
      <c r="C47" s="12">
        <f t="shared" si="12"/>
        <v>7219865.3790413458</v>
      </c>
      <c r="D47">
        <f t="shared" si="13"/>
        <v>70591.307602986606</v>
      </c>
      <c r="E47">
        <f t="shared" si="14"/>
        <v>7228230.0380826909</v>
      </c>
      <c r="F47" s="11">
        <f t="shared" si="15"/>
        <v>-16729.31808269117</v>
      </c>
      <c r="G47" s="12">
        <f t="shared" si="16"/>
        <v>7197706.3961197846</v>
      </c>
      <c r="H47">
        <f t="shared" si="17"/>
        <v>50455.876359699199</v>
      </c>
      <c r="I47">
        <f t="shared" si="18"/>
        <v>7191794.5430282643</v>
      </c>
      <c r="J47">
        <f t="shared" si="19"/>
        <v>19706.176971735433</v>
      </c>
      <c r="K47" s="12">
        <f t="shared" si="32"/>
        <v>7213535.2133787237</v>
      </c>
      <c r="L47">
        <f t="shared" si="33"/>
        <v>56361.49087037806</v>
      </c>
      <c r="M47">
        <f t="shared" si="20"/>
        <v>7218282.3645957438</v>
      </c>
      <c r="N47" s="11">
        <f t="shared" si="21"/>
        <v>-6781.6445957440883</v>
      </c>
      <c r="O47" s="12">
        <f t="shared" si="34"/>
        <v>7211639.2137665618</v>
      </c>
      <c r="P47">
        <f t="shared" si="35"/>
        <v>50839.766711034601</v>
      </c>
      <c r="Q47">
        <f t="shared" si="22"/>
        <v>7212885.6576656168</v>
      </c>
      <c r="R47" s="11">
        <f t="shared" si="23"/>
        <v>-1384.9376656170934</v>
      </c>
      <c r="S47" s="12">
        <f t="shared" si="36"/>
        <v>7213997.5620880714</v>
      </c>
      <c r="T47">
        <f t="shared" si="37"/>
        <v>57045.816886357359</v>
      </c>
      <c r="U47">
        <f t="shared" si="24"/>
        <v>7223984.930440357</v>
      </c>
      <c r="V47" s="11">
        <f t="shared" si="25"/>
        <v>-12484.210440357216</v>
      </c>
      <c r="W47" s="12">
        <f t="shared" si="38"/>
        <v>7201690.0311361393</v>
      </c>
      <c r="X47">
        <f t="shared" si="39"/>
        <v>52002.219672537947</v>
      </c>
      <c r="Y47">
        <f t="shared" si="26"/>
        <v>7199237.3589201728</v>
      </c>
      <c r="Z47" s="11">
        <f t="shared" si="27"/>
        <v>12263.361079826951</v>
      </c>
      <c r="AA47" s="12">
        <f t="shared" si="40"/>
        <v>7227789.6247522291</v>
      </c>
      <c r="AB47">
        <f t="shared" si="41"/>
        <v>83173.619198229353</v>
      </c>
      <c r="AC47">
        <f t="shared" si="28"/>
        <v>7238648.8945870483</v>
      </c>
      <c r="AD47" s="11">
        <f t="shared" si="29"/>
        <v>-27148.17458704859</v>
      </c>
      <c r="AE47" s="12">
        <f t="shared" si="42"/>
        <v>7209183.1852120552</v>
      </c>
      <c r="AF47">
        <f t="shared" si="43"/>
        <v>54259.394408428445</v>
      </c>
      <c r="AG47">
        <f t="shared" si="30"/>
        <v>7206111.1042140834</v>
      </c>
      <c r="AH47" s="11">
        <f t="shared" si="31"/>
        <v>5389.6157859163359</v>
      </c>
    </row>
    <row r="48" spans="1:34" x14ac:dyDescent="0.3">
      <c r="A48" s="13">
        <v>45</v>
      </c>
      <c r="B48" s="11">
        <v>7300920.6399999997</v>
      </c>
      <c r="C48" s="12">
        <f t="shared" si="12"/>
        <v>7295688.6633221656</v>
      </c>
      <c r="D48">
        <f t="shared" si="13"/>
        <v>73207.295941903212</v>
      </c>
      <c r="E48">
        <f t="shared" si="14"/>
        <v>7290456.6866443325</v>
      </c>
      <c r="F48" s="11">
        <f t="shared" si="15"/>
        <v>10463.953355667181</v>
      </c>
      <c r="G48" s="12">
        <f t="shared" si="16"/>
        <v>7263989.7827356383</v>
      </c>
      <c r="H48">
        <f t="shared" si="17"/>
        <v>52038.627385314656</v>
      </c>
      <c r="I48">
        <f t="shared" si="18"/>
        <v>7248162.2724794839</v>
      </c>
      <c r="J48">
        <f t="shared" si="19"/>
        <v>52758.367520515807</v>
      </c>
      <c r="K48" s="12">
        <f t="shared" si="32"/>
        <v>7291613.4592747306</v>
      </c>
      <c r="L48">
        <f t="shared" si="33"/>
        <v>61790.679626785277</v>
      </c>
      <c r="M48">
        <f t="shared" si="20"/>
        <v>7269896.7042491017</v>
      </c>
      <c r="N48" s="11">
        <f t="shared" si="21"/>
        <v>31023.935750897974</v>
      </c>
      <c r="O48" s="12">
        <f t="shared" si="34"/>
        <v>7297076.4740477586</v>
      </c>
      <c r="P48">
        <f t="shared" si="35"/>
        <v>54299.51606805082</v>
      </c>
      <c r="Q48">
        <f t="shared" si="22"/>
        <v>7262478.9804775966</v>
      </c>
      <c r="R48" s="11">
        <f t="shared" si="23"/>
        <v>38441.659522403032</v>
      </c>
      <c r="S48" s="12">
        <f t="shared" si="36"/>
        <v>7294945.1877948856</v>
      </c>
      <c r="T48">
        <f t="shared" si="37"/>
        <v>64216.359532494418</v>
      </c>
      <c r="U48">
        <f t="shared" si="24"/>
        <v>7271043.3789744284</v>
      </c>
      <c r="V48" s="11">
        <f t="shared" si="25"/>
        <v>29877.261025571264</v>
      </c>
      <c r="W48" s="12">
        <f t="shared" si="38"/>
        <v>7263137.9286469426</v>
      </c>
      <c r="X48">
        <f t="shared" si="39"/>
        <v>52946.787456364487</v>
      </c>
      <c r="Y48">
        <f t="shared" si="26"/>
        <v>7253692.2508086776</v>
      </c>
      <c r="Z48" s="11">
        <f t="shared" si="27"/>
        <v>47228.389191322029</v>
      </c>
      <c r="AA48" s="12">
        <f t="shared" si="40"/>
        <v>7306946.2023702748</v>
      </c>
      <c r="AB48">
        <f t="shared" si="41"/>
        <v>80361.69009210082</v>
      </c>
      <c r="AC48">
        <f t="shared" si="28"/>
        <v>7310963.2439504582</v>
      </c>
      <c r="AD48" s="11">
        <f t="shared" si="29"/>
        <v>-10042.603950458579</v>
      </c>
      <c r="AE48" s="12">
        <f t="shared" si="42"/>
        <v>7284805.0740368078</v>
      </c>
      <c r="AF48">
        <f t="shared" si="43"/>
        <v>58531.893291693268</v>
      </c>
      <c r="AG48">
        <f t="shared" si="30"/>
        <v>7263442.5796204833</v>
      </c>
      <c r="AH48" s="11">
        <f t="shared" si="31"/>
        <v>37478.060379516333</v>
      </c>
    </row>
    <row r="49" spans="1:34" x14ac:dyDescent="0.3">
      <c r="A49" s="13">
        <v>46</v>
      </c>
      <c r="B49" s="11">
        <v>7491704.3799999999</v>
      </c>
      <c r="C49" s="12">
        <f t="shared" si="12"/>
        <v>7430300.1696320344</v>
      </c>
      <c r="D49">
        <f t="shared" si="13"/>
        <v>103909.40112588598</v>
      </c>
      <c r="E49">
        <f t="shared" si="14"/>
        <v>7368895.9592640689</v>
      </c>
      <c r="F49" s="11">
        <f t="shared" si="15"/>
        <v>122808.42073593102</v>
      </c>
      <c r="G49" s="12">
        <f t="shared" si="16"/>
        <v>7368731.201084666</v>
      </c>
      <c r="H49">
        <f t="shared" si="17"/>
        <v>57308.906481685961</v>
      </c>
      <c r="I49">
        <f t="shared" si="18"/>
        <v>7316028.4101209529</v>
      </c>
      <c r="J49">
        <f t="shared" si="19"/>
        <v>175675.96987904701</v>
      </c>
      <c r="K49" s="12">
        <f t="shared" si="32"/>
        <v>7450214.3076704554</v>
      </c>
      <c r="L49">
        <f t="shared" si="33"/>
        <v>85993.221819020153</v>
      </c>
      <c r="M49">
        <f t="shared" si="20"/>
        <v>7353404.1389015159</v>
      </c>
      <c r="N49" s="11">
        <f t="shared" si="21"/>
        <v>138300.24109848402</v>
      </c>
      <c r="O49" s="12">
        <f t="shared" si="34"/>
        <v>7477671.5410115803</v>
      </c>
      <c r="P49">
        <f t="shared" si="35"/>
        <v>66929.071157627914</v>
      </c>
      <c r="Q49">
        <f t="shared" si="22"/>
        <v>7351375.9901158093</v>
      </c>
      <c r="R49" s="11">
        <f t="shared" si="23"/>
        <v>140328.38988419063</v>
      </c>
      <c r="S49" s="12">
        <f t="shared" si="36"/>
        <v>7465195.813465476</v>
      </c>
      <c r="T49">
        <f t="shared" si="37"/>
        <v>96026.639373923215</v>
      </c>
      <c r="U49">
        <f t="shared" si="24"/>
        <v>7359161.5473273797</v>
      </c>
      <c r="V49" s="11">
        <f t="shared" si="25"/>
        <v>132542.83267262019</v>
      </c>
      <c r="W49" s="12">
        <f t="shared" si="38"/>
        <v>7351208.6488826461</v>
      </c>
      <c r="X49">
        <f t="shared" si="39"/>
        <v>56459.180734298396</v>
      </c>
      <c r="Y49">
        <f t="shared" si="26"/>
        <v>7316084.716103307</v>
      </c>
      <c r="Z49" s="11">
        <f t="shared" si="27"/>
        <v>175619.66389669292</v>
      </c>
      <c r="AA49" s="12">
        <f t="shared" si="40"/>
        <v>7429066.4874774255</v>
      </c>
      <c r="AB49">
        <f t="shared" si="41"/>
        <v>109592.70660263571</v>
      </c>
      <c r="AC49">
        <f t="shared" si="28"/>
        <v>7387307.8924623756</v>
      </c>
      <c r="AD49" s="11">
        <f t="shared" si="29"/>
        <v>104396.48753762431</v>
      </c>
      <c r="AE49" s="12">
        <f t="shared" si="42"/>
        <v>7427906.3925512545</v>
      </c>
      <c r="AF49">
        <f t="shared" si="43"/>
        <v>75445.778336243966</v>
      </c>
      <c r="AG49">
        <f t="shared" si="30"/>
        <v>7343336.9673285009</v>
      </c>
      <c r="AH49" s="11">
        <f t="shared" si="31"/>
        <v>148367.41267149895</v>
      </c>
    </row>
    <row r="50" spans="1:34" x14ac:dyDescent="0.3">
      <c r="A50" s="13">
        <v>47</v>
      </c>
      <c r="B50" s="11">
        <v>7573319.9000000004</v>
      </c>
      <c r="C50" s="12">
        <f t="shared" si="12"/>
        <v>7553764.7353789601</v>
      </c>
      <c r="D50">
        <f t="shared" si="13"/>
        <v>113686.98343640588</v>
      </c>
      <c r="E50">
        <f t="shared" si="14"/>
        <v>7534209.5707579199</v>
      </c>
      <c r="F50" s="11">
        <f t="shared" si="15"/>
        <v>39110.32924208045</v>
      </c>
      <c r="G50" s="12">
        <f t="shared" si="16"/>
        <v>7470224.0452964455</v>
      </c>
      <c r="H50">
        <f t="shared" si="17"/>
        <v>61727.300254695321</v>
      </c>
      <c r="I50">
        <f t="shared" si="18"/>
        <v>7426040.107566352</v>
      </c>
      <c r="J50">
        <f t="shared" si="19"/>
        <v>147279.79243364837</v>
      </c>
      <c r="K50" s="12">
        <f t="shared" si="32"/>
        <v>7562186.1888468433</v>
      </c>
      <c r="L50">
        <f t="shared" si="33"/>
        <v>92487.886658362084</v>
      </c>
      <c r="M50">
        <f t="shared" si="20"/>
        <v>7536207.5294894753</v>
      </c>
      <c r="N50" s="11">
        <f t="shared" si="21"/>
        <v>37112.37051052507</v>
      </c>
      <c r="O50" s="12">
        <f t="shared" si="34"/>
        <v>7570447.9712169208</v>
      </c>
      <c r="P50">
        <f t="shared" si="35"/>
        <v>69513.807062399166</v>
      </c>
      <c r="Q50">
        <f t="shared" si="22"/>
        <v>7544600.612169208</v>
      </c>
      <c r="R50" s="11">
        <f t="shared" si="23"/>
        <v>28719.287830792367</v>
      </c>
      <c r="S50" s="12">
        <f t="shared" si="36"/>
        <v>7570900.4105678806</v>
      </c>
      <c r="T50">
        <f t="shared" si="37"/>
        <v>98930.026692467611</v>
      </c>
      <c r="U50">
        <f t="shared" si="24"/>
        <v>7561222.4528393997</v>
      </c>
      <c r="V50" s="11">
        <f t="shared" si="25"/>
        <v>12097.447160600685</v>
      </c>
      <c r="W50" s="12">
        <f t="shared" si="38"/>
        <v>7440798.2436935566</v>
      </c>
      <c r="X50">
        <f t="shared" si="39"/>
        <v>59772.222141959617</v>
      </c>
      <c r="Y50">
        <f t="shared" si="26"/>
        <v>7407667.8296169443</v>
      </c>
      <c r="Z50" s="11">
        <f t="shared" si="27"/>
        <v>165652.07038305607</v>
      </c>
      <c r="AA50" s="12">
        <f t="shared" si="40"/>
        <v>7552523.4764480367</v>
      </c>
      <c r="AB50">
        <f t="shared" si="41"/>
        <v>119297.70426021857</v>
      </c>
      <c r="AC50">
        <f t="shared" si="28"/>
        <v>7538659.1940800613</v>
      </c>
      <c r="AD50" s="11">
        <f t="shared" si="29"/>
        <v>34660.705919939093</v>
      </c>
      <c r="AE50" s="12">
        <f t="shared" si="42"/>
        <v>7543233.7764816247</v>
      </c>
      <c r="AF50">
        <f t="shared" si="43"/>
        <v>83422.099455069212</v>
      </c>
      <c r="AG50">
        <f t="shared" si="30"/>
        <v>7503352.1708874982</v>
      </c>
      <c r="AH50" s="11">
        <f t="shared" si="31"/>
        <v>69967.729112502187</v>
      </c>
    </row>
    <row r="51" spans="1:34" x14ac:dyDescent="0.3">
      <c r="A51" s="13">
        <v>48</v>
      </c>
      <c r="B51" s="11">
        <v>7870452.8499999996</v>
      </c>
      <c r="C51" s="12">
        <f t="shared" si="12"/>
        <v>7768952.2844076827</v>
      </c>
      <c r="D51">
        <f t="shared" si="13"/>
        <v>164437.26623256423</v>
      </c>
      <c r="E51">
        <f t="shared" si="14"/>
        <v>7667451.7188153658</v>
      </c>
      <c r="F51" s="11">
        <f t="shared" si="15"/>
        <v>203001.13118463382</v>
      </c>
      <c r="G51" s="12">
        <f t="shared" si="16"/>
        <v>7633501.7968857978</v>
      </c>
      <c r="H51">
        <f t="shared" si="17"/>
        <v>71882.345388161018</v>
      </c>
      <c r="I51">
        <f t="shared" si="18"/>
        <v>7531951.3455511406</v>
      </c>
      <c r="J51">
        <f t="shared" si="19"/>
        <v>338501.50444885902</v>
      </c>
      <c r="K51" s="12">
        <f t="shared" si="32"/>
        <v>7805719.2176515609</v>
      </c>
      <c r="L51">
        <f t="shared" si="33"/>
        <v>130249.17219495095</v>
      </c>
      <c r="M51">
        <f t="shared" si="20"/>
        <v>7654674.0755052054</v>
      </c>
      <c r="N51" s="11">
        <f t="shared" si="21"/>
        <v>215778.7744947942</v>
      </c>
      <c r="O51" s="12">
        <f t="shared" si="34"/>
        <v>7847403.7428279314</v>
      </c>
      <c r="P51">
        <f t="shared" si="35"/>
        <v>90258.003517260324</v>
      </c>
      <c r="Q51">
        <f t="shared" si="22"/>
        <v>7639961.7782793203</v>
      </c>
      <c r="R51" s="11">
        <f t="shared" si="23"/>
        <v>230491.07172067929</v>
      </c>
      <c r="S51" s="12">
        <f t="shared" si="36"/>
        <v>7830328.3674520701</v>
      </c>
      <c r="T51">
        <f t="shared" si="37"/>
        <v>147079.40574998417</v>
      </c>
      <c r="U51">
        <f t="shared" si="24"/>
        <v>7669830.4372603483</v>
      </c>
      <c r="V51" s="11">
        <f t="shared" si="25"/>
        <v>200622.41273965128</v>
      </c>
      <c r="W51" s="12">
        <f t="shared" si="38"/>
        <v>7574546.9426684137</v>
      </c>
      <c r="X51">
        <f t="shared" si="39"/>
        <v>67169.869825249363</v>
      </c>
      <c r="Y51">
        <f t="shared" si="26"/>
        <v>7500570.4658355163</v>
      </c>
      <c r="Z51" s="11">
        <f t="shared" si="27"/>
        <v>369882.38416448329</v>
      </c>
      <c r="AA51" s="12">
        <f t="shared" si="40"/>
        <v>7751273.8484249525</v>
      </c>
      <c r="AB51">
        <f t="shared" si="41"/>
        <v>174914.57166190658</v>
      </c>
      <c r="AC51">
        <f t="shared" si="28"/>
        <v>7671821.1807082556</v>
      </c>
      <c r="AD51" s="11">
        <f t="shared" si="29"/>
        <v>198631.66929174401</v>
      </c>
      <c r="AE51" s="12">
        <f t="shared" si="42"/>
        <v>7765620.1511527775</v>
      </c>
      <c r="AF51">
        <f t="shared" si="43"/>
        <v>111214.95449828594</v>
      </c>
      <c r="AG51">
        <f t="shared" si="30"/>
        <v>7626655.8759366935</v>
      </c>
      <c r="AH51" s="11">
        <f t="shared" si="31"/>
        <v>243796.97406330612</v>
      </c>
    </row>
    <row r="52" spans="1:34" x14ac:dyDescent="0.3">
      <c r="A52" s="13">
        <v>49</v>
      </c>
      <c r="B52" s="11">
        <v>7646789.1900000004</v>
      </c>
      <c r="C52" s="12">
        <f t="shared" si="12"/>
        <v>7790089.3703201236</v>
      </c>
      <c r="D52">
        <f t="shared" si="13"/>
        <v>92787.176072502567</v>
      </c>
      <c r="E52">
        <f t="shared" si="14"/>
        <v>7933389.5506402468</v>
      </c>
      <c r="F52" s="11">
        <f t="shared" si="15"/>
        <v>-286600.36064024642</v>
      </c>
      <c r="G52" s="12">
        <f t="shared" si="16"/>
        <v>7687805.6565917712</v>
      </c>
      <c r="H52">
        <f t="shared" si="17"/>
        <v>70124.496819942258</v>
      </c>
      <c r="I52">
        <f t="shared" si="18"/>
        <v>7705384.1422739588</v>
      </c>
      <c r="J52">
        <f t="shared" si="19"/>
        <v>-58594.952273958363</v>
      </c>
      <c r="K52" s="12">
        <f t="shared" si="32"/>
        <v>7733542.9499539547</v>
      </c>
      <c r="L52">
        <f t="shared" si="33"/>
        <v>79642.812221811648</v>
      </c>
      <c r="M52">
        <f t="shared" si="20"/>
        <v>7935968.3898465121</v>
      </c>
      <c r="N52" s="11">
        <f t="shared" si="21"/>
        <v>-289179.19984651171</v>
      </c>
      <c r="O52" s="12">
        <f t="shared" si="34"/>
        <v>7675876.4456345197</v>
      </c>
      <c r="P52">
        <f t="shared" si="35"/>
        <v>64079.473446193108</v>
      </c>
      <c r="Q52">
        <f t="shared" si="22"/>
        <v>7937661.7463451922</v>
      </c>
      <c r="R52" s="11">
        <f t="shared" si="23"/>
        <v>-290872.55634519178</v>
      </c>
      <c r="S52" s="12">
        <f t="shared" si="36"/>
        <v>7712912.9066404114</v>
      </c>
      <c r="T52">
        <f t="shared" si="37"/>
        <v>67730.945781491289</v>
      </c>
      <c r="U52">
        <f t="shared" si="24"/>
        <v>7977407.7732020542</v>
      </c>
      <c r="V52" s="11">
        <f t="shared" si="25"/>
        <v>-330618.58320205379</v>
      </c>
      <c r="W52" s="12">
        <f t="shared" si="38"/>
        <v>7642731.2879949315</v>
      </c>
      <c r="X52">
        <f t="shared" si="39"/>
        <v>67271.317375376195</v>
      </c>
      <c r="Y52">
        <f t="shared" si="26"/>
        <v>7641716.8124936633</v>
      </c>
      <c r="Z52" s="11">
        <f t="shared" si="27"/>
        <v>5072.3775063371286</v>
      </c>
      <c r="AA52" s="12">
        <f t="shared" si="40"/>
        <v>7814428.7280521151</v>
      </c>
      <c r="AB52">
        <f t="shared" si="41"/>
        <v>96682.787237585784</v>
      </c>
      <c r="AC52">
        <f t="shared" si="28"/>
        <v>7926188.4200868588</v>
      </c>
      <c r="AD52" s="11">
        <f t="shared" si="29"/>
        <v>-279399.23008685838</v>
      </c>
      <c r="AE52" s="12">
        <f t="shared" si="42"/>
        <v>7745708.9337299578</v>
      </c>
      <c r="AF52">
        <f t="shared" si="43"/>
        <v>84989.720114064825</v>
      </c>
      <c r="AG52">
        <f t="shared" si="30"/>
        <v>7876835.1056510638</v>
      </c>
      <c r="AH52" s="11">
        <f t="shared" si="31"/>
        <v>-230045.91565106343</v>
      </c>
    </row>
    <row r="53" spans="1:34" x14ac:dyDescent="0.3">
      <c r="A53" s="13">
        <v>50</v>
      </c>
      <c r="B53" s="11">
        <v>7690134.5</v>
      </c>
      <c r="C53" s="12">
        <f t="shared" si="12"/>
        <v>7786505.5231963135</v>
      </c>
      <c r="D53">
        <f t="shared" si="13"/>
        <v>44601.664474346238</v>
      </c>
      <c r="E53">
        <f t="shared" si="14"/>
        <v>7882876.5463926261</v>
      </c>
      <c r="F53" s="11">
        <f t="shared" si="15"/>
        <v>-192742.04639262613</v>
      </c>
      <c r="G53" s="12">
        <f t="shared" si="16"/>
        <v>7737591.4573881999</v>
      </c>
      <c r="H53">
        <f t="shared" si="17"/>
        <v>68090.627217590911</v>
      </c>
      <c r="I53">
        <f t="shared" si="18"/>
        <v>7757930.1534117134</v>
      </c>
      <c r="J53">
        <f t="shared" si="19"/>
        <v>-67795.653411713429</v>
      </c>
      <c r="K53" s="12">
        <f t="shared" si="32"/>
        <v>7727049.87865273</v>
      </c>
      <c r="L53">
        <f t="shared" si="33"/>
        <v>58108.841341052575</v>
      </c>
      <c r="M53">
        <f t="shared" si="20"/>
        <v>7813185.7621757668</v>
      </c>
      <c r="N53" s="11">
        <f t="shared" si="21"/>
        <v>-123051.26217576675</v>
      </c>
      <c r="O53" s="12">
        <f t="shared" si="34"/>
        <v>7695116.641908071</v>
      </c>
      <c r="P53">
        <f t="shared" si="35"/>
        <v>59595.545728928933</v>
      </c>
      <c r="Q53">
        <f t="shared" si="22"/>
        <v>7739955.9190807128</v>
      </c>
      <c r="R53" s="11">
        <f t="shared" si="23"/>
        <v>-49821.419080712833</v>
      </c>
      <c r="S53" s="12">
        <f t="shared" si="36"/>
        <v>7708236.370484381</v>
      </c>
      <c r="T53">
        <f t="shared" si="37"/>
        <v>46008.701200234791</v>
      </c>
      <c r="U53">
        <f t="shared" si="24"/>
        <v>7780643.8524219031</v>
      </c>
      <c r="V53" s="11">
        <f t="shared" si="25"/>
        <v>-90509.352421903051</v>
      </c>
      <c r="W53" s="12">
        <f t="shared" si="38"/>
        <v>7706028.9842962464</v>
      </c>
      <c r="X53">
        <f t="shared" si="39"/>
        <v>66873.955267970072</v>
      </c>
      <c r="Y53">
        <f t="shared" si="26"/>
        <v>7710002.6053703073</v>
      </c>
      <c r="Z53" s="11">
        <f t="shared" si="27"/>
        <v>-19868.105370307341</v>
      </c>
      <c r="AA53" s="12">
        <f t="shared" si="40"/>
        <v>7822720.7091738209</v>
      </c>
      <c r="AB53">
        <f t="shared" si="41"/>
        <v>34809.222956469828</v>
      </c>
      <c r="AC53">
        <f t="shared" si="28"/>
        <v>7911111.5152897006</v>
      </c>
      <c r="AD53" s="11">
        <f t="shared" si="29"/>
        <v>-220977.01528970059</v>
      </c>
      <c r="AE53" s="12">
        <f t="shared" si="42"/>
        <v>7750577.0861529298</v>
      </c>
      <c r="AF53">
        <f t="shared" si="43"/>
        <v>68965.406575846268</v>
      </c>
      <c r="AG53">
        <f t="shared" si="30"/>
        <v>7830698.6538440222</v>
      </c>
      <c r="AH53" s="11">
        <f t="shared" si="31"/>
        <v>-140564.15384402219</v>
      </c>
    </row>
    <row r="54" spans="1:34" x14ac:dyDescent="0.3">
      <c r="A54" s="13">
        <v>51</v>
      </c>
      <c r="B54" s="11">
        <v>7810949.3200000003</v>
      </c>
      <c r="C54" s="12">
        <f t="shared" si="12"/>
        <v>7821028.2538353298</v>
      </c>
      <c r="D54">
        <f t="shared" si="13"/>
        <v>39562.197556681247</v>
      </c>
      <c r="E54">
        <f t="shared" si="14"/>
        <v>7831107.1876706602</v>
      </c>
      <c r="F54" s="11">
        <f t="shared" si="15"/>
        <v>-20157.867670659907</v>
      </c>
      <c r="G54" s="12">
        <f t="shared" si="16"/>
        <v>7807262.2552240528</v>
      </c>
      <c r="H54">
        <f t="shared" si="17"/>
        <v>68248.644279417116</v>
      </c>
      <c r="I54">
        <f t="shared" si="18"/>
        <v>7805682.0846057907</v>
      </c>
      <c r="J54">
        <f t="shared" si="19"/>
        <v>5267.2353942096233</v>
      </c>
      <c r="K54" s="12">
        <f t="shared" si="32"/>
        <v>7803212.1399981352</v>
      </c>
      <c r="L54">
        <f t="shared" si="33"/>
        <v>62622.196342140713</v>
      </c>
      <c r="M54">
        <f t="shared" si="20"/>
        <v>7785158.7199937822</v>
      </c>
      <c r="N54" s="11">
        <f t="shared" si="21"/>
        <v>25790.600006218068</v>
      </c>
      <c r="O54" s="12">
        <f t="shared" si="34"/>
        <v>7805325.6067637</v>
      </c>
      <c r="P54">
        <f t="shared" si="35"/>
        <v>64656.887641598943</v>
      </c>
      <c r="Q54">
        <f t="shared" si="22"/>
        <v>7754712.1876370003</v>
      </c>
      <c r="R54" s="11">
        <f t="shared" si="23"/>
        <v>56237.132362999953</v>
      </c>
      <c r="S54" s="12">
        <f t="shared" si="36"/>
        <v>7799608.4703369234</v>
      </c>
      <c r="T54">
        <f t="shared" si="37"/>
        <v>59617.720795927067</v>
      </c>
      <c r="U54">
        <f t="shared" si="24"/>
        <v>7754245.0716846157</v>
      </c>
      <c r="V54" s="11">
        <f t="shared" si="25"/>
        <v>56704.248315384611</v>
      </c>
      <c r="W54" s="12">
        <f t="shared" si="38"/>
        <v>7780512.2156513743</v>
      </c>
      <c r="X54">
        <f t="shared" si="39"/>
        <v>67634.88287668585</v>
      </c>
      <c r="Y54">
        <f t="shared" si="26"/>
        <v>7772902.9395642169</v>
      </c>
      <c r="Z54" s="11">
        <f t="shared" si="27"/>
        <v>38046.380435783416</v>
      </c>
      <c r="AA54" s="12">
        <f t="shared" si="40"/>
        <v>7838897.6872781748</v>
      </c>
      <c r="AB54">
        <f t="shared" si="41"/>
        <v>21766.651559988666</v>
      </c>
      <c r="AC54">
        <f t="shared" si="28"/>
        <v>7857529.9321302911</v>
      </c>
      <c r="AD54" s="11">
        <f t="shared" si="29"/>
        <v>-46580.612130290829</v>
      </c>
      <c r="AE54" s="12">
        <f t="shared" si="42"/>
        <v>7814644.3842733745</v>
      </c>
      <c r="AF54">
        <f t="shared" si="43"/>
        <v>67985.784884765948</v>
      </c>
      <c r="AG54">
        <f t="shared" si="30"/>
        <v>7819542.4927287763</v>
      </c>
      <c r="AH54" s="11">
        <f t="shared" si="31"/>
        <v>-8593.1727287760004</v>
      </c>
    </row>
    <row r="55" spans="1:34" x14ac:dyDescent="0.3">
      <c r="A55" s="13">
        <v>52</v>
      </c>
      <c r="B55" s="11">
        <v>7911484.4900000002</v>
      </c>
      <c r="C55" s="12">
        <f t="shared" si="12"/>
        <v>7886037.470696006</v>
      </c>
      <c r="D55">
        <f t="shared" si="13"/>
        <v>52285.707208678716</v>
      </c>
      <c r="E55">
        <f t="shared" si="14"/>
        <v>7860590.4513920108</v>
      </c>
      <c r="F55" s="11">
        <f t="shared" si="15"/>
        <v>50894.038607989438</v>
      </c>
      <c r="G55" s="12">
        <f t="shared" si="16"/>
        <v>7886302.9766524285</v>
      </c>
      <c r="H55">
        <f t="shared" si="17"/>
        <v>69327.85199431298</v>
      </c>
      <c r="I55">
        <f t="shared" si="18"/>
        <v>7875510.8995034695</v>
      </c>
      <c r="J55">
        <f t="shared" si="19"/>
        <v>35973.590496530756</v>
      </c>
      <c r="K55" s="12">
        <f t="shared" si="32"/>
        <v>7897789.4439020827</v>
      </c>
      <c r="L55">
        <f t="shared" si="33"/>
        <v>70610.973232592427</v>
      </c>
      <c r="M55">
        <f t="shared" si="20"/>
        <v>7865834.3363402756</v>
      </c>
      <c r="N55" s="11">
        <f t="shared" si="21"/>
        <v>45650.15365972463</v>
      </c>
      <c r="O55" s="12">
        <f t="shared" si="34"/>
        <v>7907334.2904405296</v>
      </c>
      <c r="P55">
        <f t="shared" si="35"/>
        <v>68392.067245122002</v>
      </c>
      <c r="Q55">
        <f t="shared" si="22"/>
        <v>7869982.4944052994</v>
      </c>
      <c r="R55" s="11">
        <f t="shared" si="23"/>
        <v>41501.995594700798</v>
      </c>
      <c r="S55" s="12">
        <f t="shared" si="36"/>
        <v>7901032.8302265704</v>
      </c>
      <c r="T55">
        <f t="shared" si="37"/>
        <v>72159.712524043047</v>
      </c>
      <c r="U55">
        <f t="shared" si="24"/>
        <v>7859226.19113285</v>
      </c>
      <c r="V55" s="11">
        <f t="shared" si="25"/>
        <v>52258.29886715021</v>
      </c>
      <c r="W55" s="12">
        <f t="shared" si="38"/>
        <v>7860814.5768224485</v>
      </c>
      <c r="X55">
        <f t="shared" si="39"/>
        <v>68901.630706124692</v>
      </c>
      <c r="Y55">
        <f t="shared" si="26"/>
        <v>7848147.0985280601</v>
      </c>
      <c r="Z55" s="11">
        <f t="shared" si="27"/>
        <v>63337.391471940093</v>
      </c>
      <c r="AA55" s="12">
        <f t="shared" si="40"/>
        <v>7880992.399302898</v>
      </c>
      <c r="AB55">
        <f t="shared" si="41"/>
        <v>35996.293885302824</v>
      </c>
      <c r="AC55">
        <f t="shared" si="28"/>
        <v>7860664.3388381638</v>
      </c>
      <c r="AD55" s="11">
        <f t="shared" si="29"/>
        <v>50820.15116183646</v>
      </c>
      <c r="AE55" s="12">
        <f t="shared" si="42"/>
        <v>7899077.132038</v>
      </c>
      <c r="AF55">
        <f t="shared" si="43"/>
        <v>71275.177460737876</v>
      </c>
      <c r="AG55">
        <f t="shared" si="30"/>
        <v>7882630.1691581402</v>
      </c>
      <c r="AH55" s="11">
        <f t="shared" si="31"/>
        <v>28854.320841860026</v>
      </c>
    </row>
    <row r="56" spans="1:34" x14ac:dyDescent="0.3">
      <c r="A56" s="13">
        <v>53</v>
      </c>
      <c r="B56" s="11">
        <v>7854186.71</v>
      </c>
      <c r="C56" s="12">
        <f t="shared" si="12"/>
        <v>7896254.9439523425</v>
      </c>
      <c r="D56">
        <f t="shared" si="13"/>
        <v>31251.59023250762</v>
      </c>
      <c r="E56">
        <f t="shared" si="14"/>
        <v>7938323.177904685</v>
      </c>
      <c r="F56" s="11">
        <f t="shared" si="15"/>
        <v>-84136.467904685065</v>
      </c>
      <c r="G56" s="12">
        <f t="shared" si="16"/>
        <v>7925197.5930527188</v>
      </c>
      <c r="H56">
        <f t="shared" si="17"/>
        <v>66284.52843491071</v>
      </c>
      <c r="I56">
        <f t="shared" si="18"/>
        <v>7955630.8286467418</v>
      </c>
      <c r="J56">
        <f t="shared" si="19"/>
        <v>-101444.11864674184</v>
      </c>
      <c r="K56" s="12">
        <f t="shared" si="32"/>
        <v>7888450.8221404031</v>
      </c>
      <c r="L56">
        <f t="shared" si="33"/>
        <v>50623.574484024408</v>
      </c>
      <c r="M56">
        <f t="shared" si="20"/>
        <v>7968400.4171346752</v>
      </c>
      <c r="N56" s="11">
        <f t="shared" si="21"/>
        <v>-114213.70713467523</v>
      </c>
      <c r="O56" s="12">
        <f t="shared" si="34"/>
        <v>7866340.6747685652</v>
      </c>
      <c r="P56">
        <f t="shared" si="35"/>
        <v>57453.498953413364</v>
      </c>
      <c r="Q56">
        <f t="shared" si="22"/>
        <v>7975726.3576856516</v>
      </c>
      <c r="R56" s="11">
        <f t="shared" si="23"/>
        <v>-121539.64768565167</v>
      </c>
      <c r="S56" s="12">
        <f t="shared" si="36"/>
        <v>7877987.8765501231</v>
      </c>
      <c r="T56">
        <f t="shared" si="37"/>
        <v>43598.312663895944</v>
      </c>
      <c r="U56">
        <f t="shared" si="24"/>
        <v>7973192.5427506138</v>
      </c>
      <c r="V56" s="11">
        <f t="shared" si="25"/>
        <v>-119005.8327506138</v>
      </c>
      <c r="W56" s="12">
        <f t="shared" si="38"/>
        <v>7914610.3080228595</v>
      </c>
      <c r="X56">
        <f t="shared" si="39"/>
        <v>67391.040755553317</v>
      </c>
      <c r="Y56">
        <f t="shared" si="26"/>
        <v>7929716.2075285735</v>
      </c>
      <c r="Z56" s="11">
        <f t="shared" si="27"/>
        <v>-75529.497528573498</v>
      </c>
      <c r="AA56" s="12">
        <f t="shared" si="40"/>
        <v>7891867.8999129208</v>
      </c>
      <c r="AB56">
        <f t="shared" si="41"/>
        <v>18411.738592606813</v>
      </c>
      <c r="AC56">
        <f t="shared" si="28"/>
        <v>7916988.6931882007</v>
      </c>
      <c r="AD56" s="11">
        <f t="shared" si="29"/>
        <v>-62801.983188200742</v>
      </c>
      <c r="AE56" s="12">
        <f t="shared" si="42"/>
        <v>7904137.9177844571</v>
      </c>
      <c r="AF56">
        <f t="shared" si="43"/>
        <v>58032.29911788171</v>
      </c>
      <c r="AG56">
        <f t="shared" si="30"/>
        <v>7970352.3094987376</v>
      </c>
      <c r="AH56" s="11">
        <f t="shared" si="31"/>
        <v>-116165.5994987376</v>
      </c>
    </row>
    <row r="57" spans="1:34" x14ac:dyDescent="0.3">
      <c r="A57" s="13">
        <v>54</v>
      </c>
      <c r="B57" s="11">
        <v>7890747.0099999998</v>
      </c>
      <c r="C57" s="12">
        <f t="shared" si="12"/>
        <v>7909126.7720924243</v>
      </c>
      <c r="D57">
        <f t="shared" si="13"/>
        <v>22061.709186294727</v>
      </c>
      <c r="E57">
        <f t="shared" si="14"/>
        <v>7927506.5341848498</v>
      </c>
      <c r="F57" s="11">
        <f t="shared" si="15"/>
        <v>-36759.524184850045</v>
      </c>
      <c r="G57" s="12">
        <f t="shared" si="16"/>
        <v>7961261.5880413409</v>
      </c>
      <c r="H57">
        <f t="shared" si="17"/>
        <v>63262.475090281856</v>
      </c>
      <c r="I57">
        <f t="shared" si="18"/>
        <v>7991482.1214876296</v>
      </c>
      <c r="J57">
        <f t="shared" si="19"/>
        <v>-100735.11148762982</v>
      </c>
      <c r="K57" s="12">
        <f t="shared" si="32"/>
        <v>7905245.2259873282</v>
      </c>
      <c r="L57">
        <f t="shared" si="33"/>
        <v>42166.281824749589</v>
      </c>
      <c r="M57">
        <f t="shared" si="20"/>
        <v>7939074.3966244273</v>
      </c>
      <c r="N57" s="11">
        <f t="shared" si="21"/>
        <v>-48327.386624427512</v>
      </c>
      <c r="O57" s="12">
        <f t="shared" si="34"/>
        <v>7894051.7263721982</v>
      </c>
      <c r="P57">
        <f t="shared" si="35"/>
        <v>54479.254218435322</v>
      </c>
      <c r="Q57">
        <f t="shared" si="22"/>
        <v>7923794.1737219784</v>
      </c>
      <c r="R57" s="11">
        <f t="shared" si="23"/>
        <v>-33047.163721978664</v>
      </c>
      <c r="S57" s="12">
        <f t="shared" si="36"/>
        <v>7896914.8458428029</v>
      </c>
      <c r="T57">
        <f t="shared" si="37"/>
        <v>36196.909652531103</v>
      </c>
      <c r="U57">
        <f t="shared" si="24"/>
        <v>7921586.1892140191</v>
      </c>
      <c r="V57" s="11">
        <f t="shared" si="25"/>
        <v>-30839.179214019328</v>
      </c>
      <c r="W57" s="12">
        <f t="shared" si="38"/>
        <v>7963750.4810227305</v>
      </c>
      <c r="X57">
        <f t="shared" si="39"/>
        <v>65565.953979985075</v>
      </c>
      <c r="Y57">
        <f t="shared" si="26"/>
        <v>7982001.3487784127</v>
      </c>
      <c r="Z57" s="11">
        <f t="shared" si="27"/>
        <v>-91254.338778412901</v>
      </c>
      <c r="AA57" s="12">
        <f t="shared" si="40"/>
        <v>7902466.5871033166</v>
      </c>
      <c r="AB57">
        <f t="shared" si="41"/>
        <v>12942.60261105909</v>
      </c>
      <c r="AC57">
        <f t="shared" si="28"/>
        <v>7910279.6385055277</v>
      </c>
      <c r="AD57" s="11">
        <f t="shared" si="29"/>
        <v>-19532.628505527973</v>
      </c>
      <c r="AE57" s="12">
        <f t="shared" si="42"/>
        <v>7921458.9889680054</v>
      </c>
      <c r="AF57">
        <f t="shared" si="43"/>
        <v>49890.05353101503</v>
      </c>
      <c r="AG57">
        <f t="shared" si="30"/>
        <v>7962170.2169023389</v>
      </c>
      <c r="AH57" s="11">
        <f t="shared" si="31"/>
        <v>-71423.206902339123</v>
      </c>
    </row>
    <row r="58" spans="1:34" x14ac:dyDescent="0.3">
      <c r="A58" s="13">
        <v>55</v>
      </c>
      <c r="B58" s="11">
        <v>7845551.9100000001</v>
      </c>
      <c r="C58" s="12">
        <f t="shared" si="12"/>
        <v>7888370.1956393598</v>
      </c>
      <c r="D58">
        <f t="shared" si="13"/>
        <v>652.56636661507946</v>
      </c>
      <c r="E58">
        <f t="shared" si="14"/>
        <v>7931188.4812787194</v>
      </c>
      <c r="F58" s="11">
        <f t="shared" si="15"/>
        <v>-85636.571278719231</v>
      </c>
      <c r="G58" s="12">
        <f t="shared" si="16"/>
        <v>7970832.4171921359</v>
      </c>
      <c r="H58">
        <f t="shared" si="17"/>
        <v>57893.310496333172</v>
      </c>
      <c r="I58">
        <f t="shared" si="18"/>
        <v>8024524.063131623</v>
      </c>
      <c r="J58">
        <f t="shared" si="19"/>
        <v>-178972.15313162282</v>
      </c>
      <c r="K58" s="12">
        <f t="shared" si="32"/>
        <v>7876109.7893436234</v>
      </c>
      <c r="L58">
        <f t="shared" si="33"/>
        <v>24340.852207635999</v>
      </c>
      <c r="M58">
        <f t="shared" si="20"/>
        <v>7947411.5078120781</v>
      </c>
      <c r="N58" s="11">
        <f t="shared" si="21"/>
        <v>-101859.59781207796</v>
      </c>
      <c r="O58" s="12">
        <f t="shared" si="34"/>
        <v>7855849.8170590634</v>
      </c>
      <c r="P58">
        <f t="shared" si="35"/>
        <v>45211.13786527831</v>
      </c>
      <c r="Q58">
        <f t="shared" si="22"/>
        <v>7948530.9805906331</v>
      </c>
      <c r="R58" s="11">
        <f t="shared" si="23"/>
        <v>-102979.07059063297</v>
      </c>
      <c r="S58" s="12">
        <f t="shared" si="36"/>
        <v>7863063.8790990673</v>
      </c>
      <c r="T58">
        <f t="shared" si="37"/>
        <v>15182.546733651094</v>
      </c>
      <c r="U58">
        <f t="shared" si="24"/>
        <v>7933111.755495334</v>
      </c>
      <c r="V58" s="11">
        <f t="shared" si="25"/>
        <v>-87559.845495333895</v>
      </c>
      <c r="W58" s="12">
        <f t="shared" si="38"/>
        <v>7992563.530002173</v>
      </c>
      <c r="X58">
        <f t="shared" si="39"/>
        <v>61890.663479930823</v>
      </c>
      <c r="Y58">
        <f t="shared" si="26"/>
        <v>8029316.4350027153</v>
      </c>
      <c r="Z58" s="11">
        <f t="shared" si="27"/>
        <v>-183764.52500271518</v>
      </c>
      <c r="AA58" s="12">
        <f t="shared" si="40"/>
        <v>7887466.2778286254</v>
      </c>
      <c r="AB58">
        <f t="shared" si="41"/>
        <v>-6617.4357089660816</v>
      </c>
      <c r="AC58">
        <f t="shared" si="28"/>
        <v>7915409.1897143759</v>
      </c>
      <c r="AD58" s="11">
        <f t="shared" si="29"/>
        <v>-69857.279714375734</v>
      </c>
      <c r="AE58" s="12">
        <f t="shared" si="42"/>
        <v>7899644.6769745788</v>
      </c>
      <c r="AF58">
        <f t="shared" si="43"/>
        <v>35549.180426126703</v>
      </c>
      <c r="AG58">
        <f t="shared" si="30"/>
        <v>7971349.0424990207</v>
      </c>
      <c r="AH58" s="11">
        <f t="shared" si="31"/>
        <v>-125797.13249902055</v>
      </c>
    </row>
    <row r="59" spans="1:34" x14ac:dyDescent="0.3">
      <c r="A59" s="13">
        <v>56</v>
      </c>
      <c r="B59" s="11">
        <v>7897628.21</v>
      </c>
      <c r="C59" s="12">
        <f t="shared" si="12"/>
        <v>7893325.4860029873</v>
      </c>
      <c r="D59">
        <f t="shared" si="13"/>
        <v>2803.9283651212827</v>
      </c>
      <c r="E59">
        <f t="shared" si="14"/>
        <v>7889022.7620059745</v>
      </c>
      <c r="F59" s="11">
        <f t="shared" si="15"/>
        <v>8605.4479940254241</v>
      </c>
      <c r="G59" s="12">
        <f t="shared" si="16"/>
        <v>7989396.4723819271</v>
      </c>
      <c r="H59">
        <f t="shared" si="17"/>
        <v>53960.384965678968</v>
      </c>
      <c r="I59">
        <f t="shared" si="18"/>
        <v>8028725.727688469</v>
      </c>
      <c r="J59">
        <f t="shared" si="19"/>
        <v>-131097.51768846903</v>
      </c>
      <c r="K59" s="12">
        <f t="shared" si="32"/>
        <v>7898474.9394653775</v>
      </c>
      <c r="L59">
        <f t="shared" si="33"/>
        <v>23846.926686165509</v>
      </c>
      <c r="M59">
        <f t="shared" si="20"/>
        <v>7900450.6415512599</v>
      </c>
      <c r="N59" s="11">
        <f t="shared" si="21"/>
        <v>-2822.4315512599424</v>
      </c>
      <c r="O59" s="12">
        <f t="shared" si="34"/>
        <v>7897971.4844924342</v>
      </c>
      <c r="P59">
        <f t="shared" si="35"/>
        <v>44902.190822087563</v>
      </c>
      <c r="Q59">
        <f t="shared" si="22"/>
        <v>7901060.9549243413</v>
      </c>
      <c r="R59" s="11">
        <f t="shared" si="23"/>
        <v>-3432.7449243413284</v>
      </c>
      <c r="S59" s="12">
        <f t="shared" si="36"/>
        <v>7893751.8531665429</v>
      </c>
      <c r="T59">
        <f t="shared" si="37"/>
        <v>19834.174933798458</v>
      </c>
      <c r="U59">
        <f t="shared" si="24"/>
        <v>7878246.4258327186</v>
      </c>
      <c r="V59" s="11">
        <f t="shared" si="25"/>
        <v>19381.784167281352</v>
      </c>
      <c r="W59" s="12">
        <f t="shared" si="38"/>
        <v>8023088.9967856836</v>
      </c>
      <c r="X59">
        <f t="shared" si="39"/>
        <v>58754.143810288791</v>
      </c>
      <c r="Y59">
        <f t="shared" si="26"/>
        <v>8054454.1934821038</v>
      </c>
      <c r="Z59" s="11">
        <f t="shared" si="27"/>
        <v>-156825.98348210379</v>
      </c>
      <c r="AA59" s="12">
        <f t="shared" si="40"/>
        <v>7887560.589271795</v>
      </c>
      <c r="AB59">
        <f t="shared" si="41"/>
        <v>-1919.2127024711037</v>
      </c>
      <c r="AC59">
        <f t="shared" si="28"/>
        <v>7880848.8421196593</v>
      </c>
      <c r="AD59" s="11">
        <f t="shared" si="29"/>
        <v>16779.367880340666</v>
      </c>
      <c r="AE59" s="12">
        <f t="shared" si="42"/>
        <v>7913781.4383823033</v>
      </c>
      <c r="AF59">
        <f t="shared" si="43"/>
        <v>31266.696622446281</v>
      </c>
      <c r="AG59">
        <f t="shared" si="30"/>
        <v>7935193.8574007051</v>
      </c>
      <c r="AH59" s="11">
        <f t="shared" si="31"/>
        <v>-37565.647400705144</v>
      </c>
    </row>
    <row r="60" spans="1:34" x14ac:dyDescent="0.3">
      <c r="A60" s="13">
        <v>57</v>
      </c>
      <c r="B60" s="11">
        <v>7962693.3600000003</v>
      </c>
      <c r="C60" s="12">
        <f t="shared" si="12"/>
        <v>7929411.3871840546</v>
      </c>
      <c r="D60">
        <f t="shared" si="13"/>
        <v>19444.914773094311</v>
      </c>
      <c r="E60">
        <f t="shared" si="14"/>
        <v>7896129.4143681088</v>
      </c>
      <c r="F60" s="11">
        <f t="shared" si="15"/>
        <v>66563.945631891489</v>
      </c>
      <c r="G60" s="12">
        <f t="shared" si="16"/>
        <v>8019157.8081433233</v>
      </c>
      <c r="H60">
        <f t="shared" si="17"/>
        <v>51540.48004525069</v>
      </c>
      <c r="I60">
        <f t="shared" si="18"/>
        <v>8043356.8573476057</v>
      </c>
      <c r="J60">
        <f t="shared" si="19"/>
        <v>-80663.497347605415</v>
      </c>
      <c r="K60" s="12">
        <f t="shared" si="32"/>
        <v>7950581.9118454633</v>
      </c>
      <c r="L60">
        <f t="shared" si="33"/>
        <v>30911.938109645595</v>
      </c>
      <c r="M60">
        <f t="shared" si="20"/>
        <v>7922321.8661515433</v>
      </c>
      <c r="N60" s="11">
        <f t="shared" si="21"/>
        <v>40371.493848457001</v>
      </c>
      <c r="O60" s="12">
        <f t="shared" si="34"/>
        <v>7960711.3915314525</v>
      </c>
      <c r="P60">
        <f t="shared" si="35"/>
        <v>46685.962443780641</v>
      </c>
      <c r="Q60">
        <f t="shared" si="22"/>
        <v>7942873.6753145214</v>
      </c>
      <c r="R60" s="11">
        <f t="shared" si="23"/>
        <v>19819.684685478918</v>
      </c>
      <c r="S60" s="12">
        <f t="shared" si="36"/>
        <v>7952871.8936200691</v>
      </c>
      <c r="T60">
        <f t="shared" si="37"/>
        <v>31619.934589716777</v>
      </c>
      <c r="U60">
        <f t="shared" si="24"/>
        <v>7913586.0281003416</v>
      </c>
      <c r="V60" s="11">
        <f t="shared" si="25"/>
        <v>49107.331899658777</v>
      </c>
      <c r="W60" s="12">
        <f t="shared" si="38"/>
        <v>8058013.1844767788</v>
      </c>
      <c r="X60">
        <f t="shared" si="39"/>
        <v>56371.148198369439</v>
      </c>
      <c r="Y60">
        <f t="shared" si="26"/>
        <v>8081843.1405959725</v>
      </c>
      <c r="Z60" s="11">
        <f t="shared" si="27"/>
        <v>-119149.7805959722</v>
      </c>
      <c r="AA60" s="12">
        <f t="shared" si="40"/>
        <v>7916462.1699415948</v>
      </c>
      <c r="AB60">
        <f t="shared" si="41"/>
        <v>19655.342658118541</v>
      </c>
      <c r="AC60">
        <f t="shared" si="28"/>
        <v>7885641.3765693242</v>
      </c>
      <c r="AD60" s="11">
        <f t="shared" si="29"/>
        <v>77051.983430676162</v>
      </c>
      <c r="AE60" s="12">
        <f t="shared" si="42"/>
        <v>7955105.9132520426</v>
      </c>
      <c r="AF60">
        <f t="shared" si="43"/>
        <v>33278.252271904879</v>
      </c>
      <c r="AG60">
        <f t="shared" si="30"/>
        <v>7945048.1350047495</v>
      </c>
      <c r="AH60" s="11">
        <f t="shared" si="31"/>
        <v>17645.224995250814</v>
      </c>
    </row>
    <row r="61" spans="1:34" x14ac:dyDescent="0.3">
      <c r="A61" s="13">
        <v>58</v>
      </c>
      <c r="B61" s="11">
        <v>8223055.0199999996</v>
      </c>
      <c r="C61" s="12">
        <f t="shared" si="12"/>
        <v>8085955.6609785743</v>
      </c>
      <c r="D61">
        <f t="shared" si="13"/>
        <v>87994.594283807019</v>
      </c>
      <c r="E61">
        <f t="shared" si="14"/>
        <v>7948856.3019571491</v>
      </c>
      <c r="F61" s="11">
        <f t="shared" si="15"/>
        <v>274198.71804285049</v>
      </c>
      <c r="G61" s="12">
        <f t="shared" si="16"/>
        <v>8116405.3077320009</v>
      </c>
      <c r="H61">
        <f t="shared" si="17"/>
        <v>56111.181999593391</v>
      </c>
      <c r="I61">
        <f t="shared" si="18"/>
        <v>8070698.2881885739</v>
      </c>
      <c r="J61">
        <f t="shared" si="19"/>
        <v>152356.73181142565</v>
      </c>
      <c r="K61" s="12">
        <f t="shared" si="32"/>
        <v>8150586.6689865328</v>
      </c>
      <c r="L61">
        <f t="shared" si="33"/>
        <v>73185.142867501578</v>
      </c>
      <c r="M61">
        <f t="shared" si="20"/>
        <v>7981493.8499551089</v>
      </c>
      <c r="N61" s="11">
        <f t="shared" si="21"/>
        <v>241561.1700448906</v>
      </c>
      <c r="O61" s="12">
        <f t="shared" si="34"/>
        <v>8201489.2533975234</v>
      </c>
      <c r="P61">
        <f t="shared" si="35"/>
        <v>66095.152386009664</v>
      </c>
      <c r="Q61">
        <f t="shared" si="22"/>
        <v>8007397.3539752336</v>
      </c>
      <c r="R61" s="11">
        <f t="shared" si="23"/>
        <v>215657.66602476593</v>
      </c>
      <c r="S61" s="12">
        <f t="shared" si="36"/>
        <v>8175342.381641956</v>
      </c>
      <c r="T61">
        <f t="shared" si="37"/>
        <v>88875.100619367819</v>
      </c>
      <c r="U61">
        <f t="shared" si="24"/>
        <v>7984491.8282097857</v>
      </c>
      <c r="V61" s="11">
        <f t="shared" si="25"/>
        <v>238563.19179021381</v>
      </c>
      <c r="W61" s="12">
        <f t="shared" si="38"/>
        <v>8136118.4701401191</v>
      </c>
      <c r="X61">
        <f t="shared" si="39"/>
        <v>58544.561944866524</v>
      </c>
      <c r="Y61">
        <f t="shared" si="26"/>
        <v>8114384.3326751487</v>
      </c>
      <c r="Z61" s="11">
        <f t="shared" si="27"/>
        <v>108670.68732485082</v>
      </c>
      <c r="AA61" s="12">
        <f t="shared" si="40"/>
        <v>8050892.5155598279</v>
      </c>
      <c r="AB61">
        <f t="shared" si="41"/>
        <v>99997.844730198718</v>
      </c>
      <c r="AC61">
        <f t="shared" si="28"/>
        <v>7936117.5125997132</v>
      </c>
      <c r="AD61" s="11">
        <f t="shared" si="29"/>
        <v>286937.50740028638</v>
      </c>
      <c r="AE61" s="12">
        <f t="shared" si="42"/>
        <v>8122146.5525752967</v>
      </c>
      <c r="AF61">
        <f t="shared" si="43"/>
        <v>60030.72968217473</v>
      </c>
      <c r="AG61">
        <f t="shared" si="30"/>
        <v>7988384.1655239472</v>
      </c>
      <c r="AH61" s="11">
        <f t="shared" si="31"/>
        <v>234670.85447605234</v>
      </c>
    </row>
    <row r="62" spans="1:34" x14ac:dyDescent="0.3">
      <c r="A62" s="13">
        <v>59</v>
      </c>
      <c r="B62" s="11">
        <v>8297349.5099999998</v>
      </c>
      <c r="C62" s="12">
        <f t="shared" si="12"/>
        <v>8235649.8826311901</v>
      </c>
      <c r="D62">
        <f t="shared" si="13"/>
        <v>118844.40796821142</v>
      </c>
      <c r="E62">
        <f t="shared" si="14"/>
        <v>8173950.2552623814</v>
      </c>
      <c r="F62" s="11">
        <f t="shared" si="15"/>
        <v>123399.25473761838</v>
      </c>
      <c r="G62" s="12">
        <f t="shared" si="16"/>
        <v>8209966.3958121147</v>
      </c>
      <c r="H62">
        <f t="shared" si="17"/>
        <v>59856.172607645429</v>
      </c>
      <c r="I62">
        <f t="shared" si="18"/>
        <v>8172516.489731594</v>
      </c>
      <c r="J62">
        <f t="shared" si="19"/>
        <v>124833.02026840579</v>
      </c>
      <c r="K62" s="12">
        <f t="shared" si="32"/>
        <v>8275276.2005562102</v>
      </c>
      <c r="L62">
        <f t="shared" si="33"/>
        <v>86061.240043045531</v>
      </c>
      <c r="M62">
        <f t="shared" si="20"/>
        <v>8223771.8118540347</v>
      </c>
      <c r="N62" s="11">
        <f t="shared" si="21"/>
        <v>73577.698145965114</v>
      </c>
      <c r="O62" s="12">
        <f t="shared" si="34"/>
        <v>8294372.999578353</v>
      </c>
      <c r="P62">
        <f t="shared" si="35"/>
        <v>68774.011765491654</v>
      </c>
      <c r="Q62">
        <f t="shared" si="22"/>
        <v>8267584.4057835331</v>
      </c>
      <c r="R62" s="11">
        <f t="shared" si="23"/>
        <v>29765.104216466658</v>
      </c>
      <c r="S62" s="12">
        <f t="shared" si="36"/>
        <v>8290723.1044522645</v>
      </c>
      <c r="T62">
        <f t="shared" si="37"/>
        <v>96826.787276649993</v>
      </c>
      <c r="U62">
        <f t="shared" si="24"/>
        <v>8264217.4822613243</v>
      </c>
      <c r="V62" s="11">
        <f t="shared" si="25"/>
        <v>33132.027738675475</v>
      </c>
      <c r="W62" s="12">
        <f t="shared" si="38"/>
        <v>8215200.3276679888</v>
      </c>
      <c r="X62">
        <f t="shared" si="39"/>
        <v>60598.291503166853</v>
      </c>
      <c r="Y62">
        <f t="shared" si="26"/>
        <v>8194663.0320849856</v>
      </c>
      <c r="Z62" s="11">
        <f t="shared" si="27"/>
        <v>102686.47791501414</v>
      </c>
      <c r="AA62" s="12">
        <f t="shared" si="40"/>
        <v>8209474.0201740153</v>
      </c>
      <c r="AB62">
        <f t="shared" si="41"/>
        <v>141006.40664899079</v>
      </c>
      <c r="AC62">
        <f t="shared" si="28"/>
        <v>8150890.3602900263</v>
      </c>
      <c r="AD62" s="11">
        <f t="shared" si="29"/>
        <v>146459.14970997348</v>
      </c>
      <c r="AE62" s="12">
        <f t="shared" si="42"/>
        <v>8247825.452070713</v>
      </c>
      <c r="AF62">
        <f t="shared" si="43"/>
        <v>73160.363644823054</v>
      </c>
      <c r="AG62">
        <f t="shared" si="30"/>
        <v>8182177.2822574712</v>
      </c>
      <c r="AH62" s="11">
        <f t="shared" si="31"/>
        <v>115172.22774252854</v>
      </c>
    </row>
    <row r="63" spans="1:34" x14ac:dyDescent="0.3">
      <c r="A63" s="13">
        <v>60</v>
      </c>
      <c r="B63" s="11">
        <v>8528022.3100000005</v>
      </c>
      <c r="C63" s="12">
        <f t="shared" si="12"/>
        <v>8441258.3002997003</v>
      </c>
      <c r="D63">
        <f t="shared" si="13"/>
        <v>162226.41281836084</v>
      </c>
      <c r="E63">
        <f t="shared" si="14"/>
        <v>8354494.2905994011</v>
      </c>
      <c r="F63" s="11">
        <f t="shared" si="15"/>
        <v>173528.01940059941</v>
      </c>
      <c r="G63" s="12">
        <f t="shared" si="16"/>
        <v>8347282.4908938315</v>
      </c>
      <c r="H63">
        <f t="shared" si="17"/>
        <v>67602.164855052572</v>
      </c>
      <c r="I63">
        <f t="shared" si="18"/>
        <v>8269822.5684197601</v>
      </c>
      <c r="J63">
        <f t="shared" si="19"/>
        <v>258199.74158024043</v>
      </c>
      <c r="K63" s="12">
        <f t="shared" si="32"/>
        <v>8478016.8491797764</v>
      </c>
      <c r="L63">
        <f t="shared" si="33"/>
        <v>115231.09218817568</v>
      </c>
      <c r="M63">
        <f t="shared" si="20"/>
        <v>8361337.4405992562</v>
      </c>
      <c r="N63" s="11">
        <f t="shared" si="21"/>
        <v>166684.86940074433</v>
      </c>
      <c r="O63" s="12">
        <f t="shared" si="34"/>
        <v>8511534.7801343855</v>
      </c>
      <c r="P63">
        <f t="shared" si="35"/>
        <v>83612.788644545741</v>
      </c>
      <c r="Q63">
        <f t="shared" si="22"/>
        <v>8363147.0113438442</v>
      </c>
      <c r="R63" s="11">
        <f t="shared" si="23"/>
        <v>164875.29865615629</v>
      </c>
      <c r="S63" s="12">
        <f t="shared" si="36"/>
        <v>8499927.8263457827</v>
      </c>
      <c r="T63">
        <f t="shared" si="37"/>
        <v>130540.16766171047</v>
      </c>
      <c r="U63">
        <f t="shared" si="24"/>
        <v>8387549.8917289143</v>
      </c>
      <c r="V63" s="11">
        <f t="shared" si="25"/>
        <v>140472.41827108618</v>
      </c>
      <c r="W63" s="12">
        <f t="shared" si="38"/>
        <v>8326243.3573369253</v>
      </c>
      <c r="X63">
        <f t="shared" si="39"/>
        <v>65642.765319743819</v>
      </c>
      <c r="Y63">
        <f t="shared" si="26"/>
        <v>8275798.6191711556</v>
      </c>
      <c r="Z63" s="11">
        <f t="shared" si="27"/>
        <v>252223.6908288449</v>
      </c>
      <c r="AA63" s="12">
        <f t="shared" si="40"/>
        <v>8421497.1800938044</v>
      </c>
      <c r="AB63">
        <f t="shared" si="41"/>
        <v>190718.13393854958</v>
      </c>
      <c r="AC63">
        <f t="shared" si="28"/>
        <v>8350480.426823006</v>
      </c>
      <c r="AD63" s="11">
        <f t="shared" si="29"/>
        <v>177541.88317699451</v>
      </c>
      <c r="AE63" s="12">
        <f t="shared" si="42"/>
        <v>8438996.6174576804</v>
      </c>
      <c r="AF63">
        <f t="shared" si="43"/>
        <v>96762.523993251918</v>
      </c>
      <c r="AG63">
        <f t="shared" si="30"/>
        <v>8320985.8157155365</v>
      </c>
      <c r="AH63" s="11">
        <f t="shared" si="31"/>
        <v>207036.49428446405</v>
      </c>
    </row>
    <row r="64" spans="1:34" x14ac:dyDescent="0.3">
      <c r="A64"/>
      <c r="B64"/>
      <c r="C64"/>
      <c r="F64"/>
      <c r="G64"/>
    </row>
    <row r="65" spans="1:7" x14ac:dyDescent="0.3">
      <c r="A65"/>
      <c r="B65"/>
      <c r="C65"/>
      <c r="F65"/>
      <c r="G65"/>
    </row>
    <row r="66" spans="1:7" x14ac:dyDescent="0.3">
      <c r="A66"/>
      <c r="B66"/>
      <c r="C66"/>
      <c r="F66"/>
      <c r="G66"/>
    </row>
    <row r="67" spans="1:7" x14ac:dyDescent="0.3">
      <c r="A67"/>
      <c r="B67"/>
      <c r="C67"/>
      <c r="F67"/>
      <c r="G67"/>
    </row>
    <row r="68" spans="1:7" x14ac:dyDescent="0.3">
      <c r="A68"/>
      <c r="B68"/>
      <c r="C68"/>
      <c r="F68"/>
      <c r="G68"/>
    </row>
    <row r="69" spans="1:7" x14ac:dyDescent="0.3">
      <c r="A69"/>
      <c r="B69"/>
      <c r="C69"/>
      <c r="F69"/>
      <c r="G69"/>
    </row>
    <row r="70" spans="1:7" x14ac:dyDescent="0.3">
      <c r="A70"/>
      <c r="B70"/>
      <c r="C70"/>
      <c r="F70"/>
      <c r="G70"/>
    </row>
    <row r="71" spans="1:7" x14ac:dyDescent="0.3">
      <c r="A71"/>
      <c r="B71"/>
      <c r="C71"/>
      <c r="F71"/>
      <c r="G71"/>
    </row>
    <row r="72" spans="1:7" x14ac:dyDescent="0.3">
      <c r="A72"/>
      <c r="B72"/>
      <c r="C72"/>
      <c r="F72"/>
      <c r="G72"/>
    </row>
    <row r="73" spans="1:7" x14ac:dyDescent="0.3">
      <c r="A73"/>
      <c r="B73"/>
      <c r="C73"/>
      <c r="F73"/>
      <c r="G73"/>
    </row>
    <row r="74" spans="1:7" x14ac:dyDescent="0.3">
      <c r="A74"/>
      <c r="B74"/>
      <c r="C74"/>
      <c r="F74"/>
      <c r="G74"/>
    </row>
    <row r="75" spans="1:7" x14ac:dyDescent="0.3">
      <c r="A75"/>
      <c r="B75"/>
      <c r="C75"/>
      <c r="F75"/>
      <c r="G75"/>
    </row>
    <row r="76" spans="1:7" x14ac:dyDescent="0.3">
      <c r="A76"/>
      <c r="B76"/>
      <c r="C76"/>
      <c r="F76"/>
      <c r="G76"/>
    </row>
    <row r="77" spans="1:7" x14ac:dyDescent="0.3">
      <c r="A77"/>
      <c r="B77"/>
      <c r="C77"/>
      <c r="F77"/>
      <c r="G77"/>
    </row>
    <row r="78" spans="1:7" x14ac:dyDescent="0.3">
      <c r="A78"/>
      <c r="B78"/>
      <c r="C78"/>
      <c r="F78"/>
      <c r="G78"/>
    </row>
    <row r="79" spans="1:7" x14ac:dyDescent="0.3">
      <c r="A79"/>
      <c r="B79"/>
      <c r="C79"/>
      <c r="F79"/>
      <c r="G79"/>
    </row>
    <row r="80" spans="1:7" x14ac:dyDescent="0.3">
      <c r="A80"/>
      <c r="B80"/>
      <c r="C80"/>
      <c r="F80"/>
      <c r="G80"/>
    </row>
    <row r="81" spans="1:7" x14ac:dyDescent="0.3">
      <c r="A81"/>
      <c r="B81"/>
      <c r="C81"/>
      <c r="F81"/>
      <c r="G81"/>
    </row>
    <row r="82" spans="1:7" x14ac:dyDescent="0.3">
      <c r="A82"/>
      <c r="B82"/>
      <c r="C82"/>
      <c r="F82"/>
      <c r="G82"/>
    </row>
    <row r="83" spans="1:7" x14ac:dyDescent="0.3">
      <c r="A83"/>
      <c r="B83"/>
      <c r="C83"/>
      <c r="F83"/>
      <c r="G83"/>
    </row>
    <row r="84" spans="1:7" x14ac:dyDescent="0.3">
      <c r="A84"/>
      <c r="B84"/>
      <c r="C84"/>
      <c r="F84"/>
      <c r="G84"/>
    </row>
    <row r="85" spans="1:7" x14ac:dyDescent="0.3">
      <c r="A85"/>
      <c r="B85"/>
      <c r="C85"/>
      <c r="F85"/>
      <c r="G85"/>
    </row>
    <row r="86" spans="1:7" x14ac:dyDescent="0.3">
      <c r="A86"/>
      <c r="B86"/>
      <c r="C86"/>
      <c r="F86"/>
      <c r="G86"/>
    </row>
    <row r="87" spans="1:7" x14ac:dyDescent="0.3">
      <c r="A87"/>
      <c r="B87"/>
      <c r="C87"/>
      <c r="F87"/>
      <c r="G87"/>
    </row>
    <row r="88" spans="1:7" x14ac:dyDescent="0.3">
      <c r="A88"/>
      <c r="B88"/>
      <c r="C88"/>
      <c r="F88"/>
      <c r="G88"/>
    </row>
    <row r="89" spans="1:7" x14ac:dyDescent="0.3">
      <c r="A89"/>
      <c r="B89"/>
      <c r="C89"/>
      <c r="F89"/>
      <c r="G89"/>
    </row>
    <row r="90" spans="1:7" x14ac:dyDescent="0.3">
      <c r="A90"/>
      <c r="B90"/>
      <c r="C90"/>
      <c r="F90"/>
      <c r="G90"/>
    </row>
    <row r="91" spans="1:7" x14ac:dyDescent="0.3">
      <c r="A91"/>
      <c r="B91"/>
      <c r="C91"/>
      <c r="F91"/>
      <c r="G91"/>
    </row>
    <row r="92" spans="1:7" x14ac:dyDescent="0.3">
      <c r="A92"/>
      <c r="B92"/>
      <c r="C92"/>
      <c r="F92"/>
      <c r="G92"/>
    </row>
    <row r="93" spans="1:7" x14ac:dyDescent="0.3">
      <c r="A93"/>
      <c r="B93"/>
      <c r="C93"/>
      <c r="F93"/>
      <c r="G93"/>
    </row>
    <row r="94" spans="1:7" x14ac:dyDescent="0.3">
      <c r="A94"/>
      <c r="B94"/>
      <c r="C94"/>
      <c r="F94"/>
      <c r="G94"/>
    </row>
    <row r="95" spans="1:7" x14ac:dyDescent="0.3">
      <c r="A95"/>
      <c r="B95"/>
      <c r="C95"/>
      <c r="F95"/>
      <c r="G95"/>
    </row>
    <row r="96" spans="1:7" x14ac:dyDescent="0.3">
      <c r="A96"/>
      <c r="B96"/>
      <c r="C96"/>
      <c r="F96"/>
      <c r="G96"/>
    </row>
    <row r="97" spans="1:7" x14ac:dyDescent="0.3">
      <c r="A97"/>
      <c r="B97"/>
      <c r="C97"/>
      <c r="F97"/>
      <c r="G97"/>
    </row>
    <row r="98" spans="1:7" x14ac:dyDescent="0.3">
      <c r="A98"/>
      <c r="B98"/>
      <c r="C98"/>
      <c r="F98"/>
      <c r="G98"/>
    </row>
    <row r="99" spans="1:7" x14ac:dyDescent="0.3">
      <c r="A99"/>
      <c r="B99"/>
      <c r="C99"/>
      <c r="F99"/>
      <c r="G99"/>
    </row>
    <row r="100" spans="1:7" x14ac:dyDescent="0.3">
      <c r="A100"/>
      <c r="B100"/>
      <c r="C100"/>
      <c r="F100"/>
      <c r="G100"/>
    </row>
    <row r="101" spans="1:7" x14ac:dyDescent="0.3">
      <c r="A101"/>
      <c r="B101"/>
      <c r="C101"/>
      <c r="F101"/>
      <c r="G101"/>
    </row>
    <row r="102" spans="1:7" x14ac:dyDescent="0.3">
      <c r="A102"/>
      <c r="B102"/>
      <c r="C102"/>
      <c r="F102"/>
      <c r="G102"/>
    </row>
    <row r="103" spans="1:7" x14ac:dyDescent="0.3">
      <c r="A103"/>
      <c r="B103"/>
      <c r="C103"/>
      <c r="F103"/>
      <c r="G103"/>
    </row>
    <row r="104" spans="1:7" x14ac:dyDescent="0.3">
      <c r="A104"/>
      <c r="B104"/>
      <c r="C104"/>
      <c r="F104"/>
      <c r="G104"/>
    </row>
    <row r="105" spans="1:7" x14ac:dyDescent="0.3">
      <c r="A105"/>
      <c r="B105"/>
      <c r="C105"/>
      <c r="F105"/>
      <c r="G105"/>
    </row>
    <row r="106" spans="1:7" x14ac:dyDescent="0.3">
      <c r="A106"/>
      <c r="B106"/>
      <c r="C106"/>
      <c r="F106"/>
      <c r="G106"/>
    </row>
    <row r="107" spans="1:7" x14ac:dyDescent="0.3">
      <c r="A107"/>
      <c r="B107"/>
      <c r="C107"/>
      <c r="F107"/>
      <c r="G107"/>
    </row>
    <row r="108" spans="1:7" x14ac:dyDescent="0.3">
      <c r="A108"/>
      <c r="B108"/>
      <c r="C108"/>
      <c r="F108"/>
      <c r="G108"/>
    </row>
    <row r="109" spans="1:7" x14ac:dyDescent="0.3">
      <c r="A109"/>
      <c r="B109"/>
      <c r="C109"/>
      <c r="F109"/>
      <c r="G109"/>
    </row>
    <row r="110" spans="1:7" x14ac:dyDescent="0.3">
      <c r="A110"/>
      <c r="B110"/>
      <c r="C110"/>
      <c r="F110"/>
      <c r="G110"/>
    </row>
    <row r="111" spans="1:7" x14ac:dyDescent="0.3">
      <c r="A111"/>
      <c r="B111"/>
      <c r="C111"/>
      <c r="F111"/>
      <c r="G111"/>
    </row>
    <row r="112" spans="1:7" x14ac:dyDescent="0.3">
      <c r="A112"/>
      <c r="B112"/>
      <c r="C112"/>
      <c r="F112"/>
      <c r="G112"/>
    </row>
    <row r="113" spans="1:7" x14ac:dyDescent="0.3">
      <c r="A113"/>
      <c r="B113"/>
      <c r="C113"/>
      <c r="F113"/>
      <c r="G113"/>
    </row>
    <row r="114" spans="1:7" x14ac:dyDescent="0.3">
      <c r="A114"/>
      <c r="B114"/>
      <c r="C114"/>
      <c r="F114"/>
      <c r="G114"/>
    </row>
    <row r="115" spans="1:7" x14ac:dyDescent="0.3">
      <c r="A115"/>
      <c r="B115"/>
      <c r="C115"/>
      <c r="F115"/>
      <c r="G115"/>
    </row>
    <row r="116" spans="1:7" x14ac:dyDescent="0.3">
      <c r="A116"/>
      <c r="B116"/>
      <c r="C116"/>
      <c r="F116"/>
      <c r="G116"/>
    </row>
    <row r="117" spans="1:7" x14ac:dyDescent="0.3">
      <c r="A117"/>
      <c r="B117"/>
      <c r="C117"/>
      <c r="F117"/>
      <c r="G117"/>
    </row>
    <row r="118" spans="1:7" x14ac:dyDescent="0.3">
      <c r="A118"/>
      <c r="B118"/>
      <c r="C118"/>
      <c r="F118"/>
      <c r="G118"/>
    </row>
    <row r="119" spans="1:7" x14ac:dyDescent="0.3">
      <c r="A119"/>
      <c r="B119"/>
      <c r="C119"/>
      <c r="F119"/>
      <c r="G119"/>
    </row>
    <row r="120" spans="1:7" x14ac:dyDescent="0.3">
      <c r="A120"/>
      <c r="B120"/>
      <c r="C120"/>
      <c r="F120"/>
      <c r="G120"/>
    </row>
    <row r="121" spans="1:7" x14ac:dyDescent="0.3">
      <c r="A121"/>
      <c r="B121"/>
      <c r="C121"/>
      <c r="F121"/>
      <c r="G121"/>
    </row>
    <row r="122" spans="1:7" x14ac:dyDescent="0.3">
      <c r="A122"/>
      <c r="B122"/>
      <c r="C122"/>
      <c r="F122"/>
      <c r="G122"/>
    </row>
    <row r="123" spans="1:7" x14ac:dyDescent="0.3">
      <c r="A123"/>
      <c r="B123"/>
      <c r="C123"/>
      <c r="F123"/>
      <c r="G123"/>
    </row>
    <row r="124" spans="1:7" x14ac:dyDescent="0.3">
      <c r="A124"/>
      <c r="B124"/>
      <c r="C124"/>
      <c r="F124"/>
      <c r="G124"/>
    </row>
    <row r="125" spans="1:7" x14ac:dyDescent="0.3">
      <c r="A125"/>
      <c r="B125"/>
      <c r="C125"/>
      <c r="F125"/>
      <c r="G125"/>
    </row>
    <row r="126" spans="1:7" x14ac:dyDescent="0.3">
      <c r="A126"/>
      <c r="B126"/>
      <c r="C126"/>
      <c r="F126"/>
      <c r="G126"/>
    </row>
    <row r="127" spans="1:7" x14ac:dyDescent="0.3">
      <c r="A127"/>
      <c r="B127"/>
      <c r="C127"/>
      <c r="F127"/>
      <c r="G127"/>
    </row>
    <row r="128" spans="1:7" x14ac:dyDescent="0.3">
      <c r="A128"/>
      <c r="B128"/>
      <c r="C128"/>
      <c r="F128"/>
      <c r="G128"/>
    </row>
    <row r="129" spans="1:7" x14ac:dyDescent="0.3">
      <c r="A129"/>
      <c r="B129"/>
      <c r="C129"/>
      <c r="F129"/>
      <c r="G129"/>
    </row>
    <row r="130" spans="1:7" x14ac:dyDescent="0.3">
      <c r="A130"/>
      <c r="B130"/>
      <c r="C130"/>
      <c r="F130"/>
      <c r="G130"/>
    </row>
    <row r="131" spans="1:7" x14ac:dyDescent="0.3">
      <c r="A131"/>
      <c r="B131"/>
      <c r="C131"/>
      <c r="F131"/>
      <c r="G131"/>
    </row>
    <row r="132" spans="1:7" x14ac:dyDescent="0.3">
      <c r="A132"/>
      <c r="B132"/>
      <c r="C132"/>
      <c r="F132"/>
      <c r="G132"/>
    </row>
    <row r="133" spans="1:7" x14ac:dyDescent="0.3">
      <c r="A133"/>
      <c r="B133"/>
      <c r="C133"/>
      <c r="F133"/>
      <c r="G133"/>
    </row>
    <row r="134" spans="1:7" x14ac:dyDescent="0.3">
      <c r="A134"/>
      <c r="B134"/>
      <c r="C134"/>
      <c r="F134"/>
      <c r="G134"/>
    </row>
    <row r="135" spans="1:7" x14ac:dyDescent="0.3">
      <c r="A135"/>
      <c r="B135"/>
      <c r="C135"/>
      <c r="F135"/>
      <c r="G135"/>
    </row>
    <row r="136" spans="1:7" x14ac:dyDescent="0.3">
      <c r="A136"/>
      <c r="B136"/>
      <c r="C136"/>
      <c r="F136"/>
      <c r="G136"/>
    </row>
    <row r="137" spans="1:7" x14ac:dyDescent="0.3">
      <c r="A137"/>
      <c r="B137"/>
      <c r="C137"/>
      <c r="F137"/>
      <c r="G137"/>
    </row>
    <row r="138" spans="1:7" x14ac:dyDescent="0.3">
      <c r="A138"/>
      <c r="B138"/>
      <c r="C138"/>
      <c r="F138"/>
      <c r="G138"/>
    </row>
    <row r="139" spans="1:7" x14ac:dyDescent="0.3">
      <c r="A139"/>
      <c r="B139"/>
      <c r="C139"/>
      <c r="F139"/>
      <c r="G139"/>
    </row>
    <row r="140" spans="1:7" x14ac:dyDescent="0.3">
      <c r="A140"/>
      <c r="B140"/>
      <c r="C140"/>
      <c r="F140"/>
      <c r="G140"/>
    </row>
    <row r="141" spans="1:7" x14ac:dyDescent="0.3">
      <c r="A141"/>
      <c r="B141"/>
      <c r="C141"/>
      <c r="F141"/>
      <c r="G141"/>
    </row>
    <row r="142" spans="1:7" x14ac:dyDescent="0.3">
      <c r="A142"/>
      <c r="B142"/>
      <c r="C142"/>
      <c r="F142"/>
      <c r="G142"/>
    </row>
    <row r="143" spans="1:7" x14ac:dyDescent="0.3">
      <c r="A143"/>
      <c r="B143"/>
      <c r="C143"/>
      <c r="F143"/>
      <c r="G143"/>
    </row>
    <row r="144" spans="1:7" x14ac:dyDescent="0.3">
      <c r="A144"/>
      <c r="B144"/>
      <c r="C144"/>
      <c r="F144"/>
      <c r="G144"/>
    </row>
    <row r="145" spans="1:7" x14ac:dyDescent="0.3">
      <c r="A145"/>
      <c r="B145"/>
      <c r="C145"/>
      <c r="F145"/>
      <c r="G145"/>
    </row>
    <row r="146" spans="1:7" x14ac:dyDescent="0.3">
      <c r="A146"/>
      <c r="B146"/>
      <c r="C146"/>
      <c r="F146"/>
      <c r="G146"/>
    </row>
    <row r="147" spans="1:7" x14ac:dyDescent="0.3">
      <c r="A147"/>
      <c r="B147"/>
      <c r="C147"/>
      <c r="F147"/>
      <c r="G147"/>
    </row>
    <row r="148" spans="1:7" x14ac:dyDescent="0.3">
      <c r="A148"/>
      <c r="B148"/>
      <c r="C148"/>
      <c r="F148"/>
      <c r="G148"/>
    </row>
    <row r="149" spans="1:7" x14ac:dyDescent="0.3">
      <c r="A149"/>
      <c r="B149"/>
      <c r="C149"/>
      <c r="F149"/>
      <c r="G149"/>
    </row>
    <row r="150" spans="1:7" x14ac:dyDescent="0.3">
      <c r="A150"/>
      <c r="B150"/>
      <c r="C150"/>
      <c r="F150"/>
      <c r="G150"/>
    </row>
    <row r="151" spans="1:7" x14ac:dyDescent="0.3">
      <c r="A151"/>
      <c r="B151"/>
      <c r="C151"/>
      <c r="F151"/>
      <c r="G151"/>
    </row>
    <row r="152" spans="1:7" x14ac:dyDescent="0.3">
      <c r="A152"/>
      <c r="B152"/>
      <c r="C152"/>
      <c r="F152"/>
      <c r="G152"/>
    </row>
    <row r="153" spans="1:7" x14ac:dyDescent="0.3">
      <c r="A153"/>
      <c r="B153"/>
      <c r="C153"/>
      <c r="F153"/>
      <c r="G153"/>
    </row>
    <row r="154" spans="1:7" x14ac:dyDescent="0.3">
      <c r="A154"/>
      <c r="B154"/>
      <c r="C154"/>
      <c r="F154"/>
      <c r="G154"/>
    </row>
    <row r="155" spans="1:7" x14ac:dyDescent="0.3">
      <c r="A155"/>
      <c r="B155"/>
      <c r="C155"/>
      <c r="F155"/>
      <c r="G155"/>
    </row>
    <row r="156" spans="1:7" x14ac:dyDescent="0.3">
      <c r="A156"/>
      <c r="B156"/>
      <c r="C156"/>
      <c r="F156"/>
      <c r="G156"/>
    </row>
    <row r="157" spans="1:7" x14ac:dyDescent="0.3">
      <c r="A157"/>
      <c r="B157"/>
      <c r="C157"/>
      <c r="F157"/>
      <c r="G157"/>
    </row>
    <row r="158" spans="1:7" x14ac:dyDescent="0.3">
      <c r="A158"/>
      <c r="B158"/>
      <c r="C158"/>
      <c r="F158"/>
      <c r="G158"/>
    </row>
    <row r="159" spans="1:7" x14ac:dyDescent="0.3">
      <c r="A159"/>
      <c r="B159"/>
      <c r="C159"/>
      <c r="F159"/>
      <c r="G159"/>
    </row>
    <row r="160" spans="1:7" x14ac:dyDescent="0.3">
      <c r="A160"/>
      <c r="B160"/>
      <c r="C160"/>
      <c r="F160"/>
      <c r="G160"/>
    </row>
    <row r="161" spans="1:7" x14ac:dyDescent="0.3">
      <c r="A161"/>
      <c r="B161"/>
      <c r="C161"/>
      <c r="F161"/>
      <c r="G161"/>
    </row>
    <row r="162" spans="1:7" x14ac:dyDescent="0.3">
      <c r="A162"/>
      <c r="B162"/>
      <c r="C162"/>
      <c r="F162"/>
      <c r="G162"/>
    </row>
    <row r="163" spans="1:7" x14ac:dyDescent="0.3">
      <c r="A163"/>
      <c r="B163"/>
      <c r="C163"/>
      <c r="F163"/>
      <c r="G163"/>
    </row>
    <row r="164" spans="1:7" x14ac:dyDescent="0.3">
      <c r="A164"/>
      <c r="B164"/>
      <c r="C164"/>
      <c r="F164"/>
      <c r="G164"/>
    </row>
    <row r="165" spans="1:7" x14ac:dyDescent="0.3">
      <c r="A165"/>
      <c r="B165"/>
      <c r="C165"/>
      <c r="F165"/>
      <c r="G165"/>
    </row>
    <row r="166" spans="1:7" x14ac:dyDescent="0.3">
      <c r="A166"/>
      <c r="B166"/>
      <c r="C166"/>
      <c r="F166"/>
      <c r="G166"/>
    </row>
    <row r="167" spans="1:7" x14ac:dyDescent="0.3">
      <c r="A167"/>
      <c r="B167"/>
      <c r="C167"/>
      <c r="F167"/>
      <c r="G167"/>
    </row>
    <row r="168" spans="1:7" x14ac:dyDescent="0.3">
      <c r="A168"/>
      <c r="B168"/>
      <c r="C168"/>
      <c r="F168"/>
      <c r="G168"/>
    </row>
    <row r="169" spans="1:7" x14ac:dyDescent="0.3">
      <c r="A169"/>
      <c r="B169"/>
      <c r="C169"/>
      <c r="F169"/>
      <c r="G169"/>
    </row>
    <row r="170" spans="1:7" x14ac:dyDescent="0.3">
      <c r="A170"/>
      <c r="B170"/>
      <c r="C170"/>
      <c r="F170"/>
      <c r="G170"/>
    </row>
    <row r="171" spans="1:7" x14ac:dyDescent="0.3">
      <c r="A171"/>
      <c r="B171"/>
      <c r="C171"/>
      <c r="F171"/>
      <c r="G171"/>
    </row>
    <row r="172" spans="1:7" x14ac:dyDescent="0.3">
      <c r="A172"/>
      <c r="B172"/>
      <c r="C172"/>
      <c r="F172"/>
      <c r="G172"/>
    </row>
    <row r="173" spans="1:7" x14ac:dyDescent="0.3">
      <c r="A173"/>
      <c r="B173"/>
      <c r="C173"/>
      <c r="F173"/>
      <c r="G173"/>
    </row>
    <row r="174" spans="1:7" x14ac:dyDescent="0.3">
      <c r="A174"/>
      <c r="B174"/>
      <c r="C174"/>
      <c r="F174"/>
      <c r="G174"/>
    </row>
    <row r="175" spans="1:7" x14ac:dyDescent="0.3">
      <c r="A175"/>
      <c r="B175"/>
      <c r="C175"/>
      <c r="F175"/>
      <c r="G175"/>
    </row>
    <row r="176" spans="1:7" x14ac:dyDescent="0.3">
      <c r="A176"/>
      <c r="B176"/>
      <c r="C176"/>
      <c r="F176"/>
      <c r="G176"/>
    </row>
    <row r="177" spans="1:7" x14ac:dyDescent="0.3">
      <c r="A177"/>
      <c r="B177"/>
      <c r="C177"/>
      <c r="F177"/>
      <c r="G177"/>
    </row>
    <row r="178" spans="1:7" x14ac:dyDescent="0.3">
      <c r="A178"/>
      <c r="B178"/>
      <c r="C178"/>
      <c r="F178"/>
      <c r="G178"/>
    </row>
    <row r="179" spans="1:7" x14ac:dyDescent="0.3">
      <c r="A179"/>
      <c r="B179"/>
      <c r="C179"/>
      <c r="F179"/>
      <c r="G179"/>
    </row>
    <row r="180" spans="1:7" x14ac:dyDescent="0.3">
      <c r="A180"/>
      <c r="B180"/>
      <c r="C180"/>
      <c r="F180"/>
      <c r="G180"/>
    </row>
    <row r="181" spans="1:7" x14ac:dyDescent="0.3">
      <c r="A181"/>
      <c r="B181"/>
      <c r="C181"/>
      <c r="F181"/>
      <c r="G181"/>
    </row>
    <row r="182" spans="1:7" x14ac:dyDescent="0.3">
      <c r="A182"/>
      <c r="B182"/>
      <c r="C182"/>
      <c r="F182"/>
      <c r="G182"/>
    </row>
    <row r="183" spans="1:7" x14ac:dyDescent="0.3">
      <c r="A183"/>
      <c r="B183"/>
      <c r="C183"/>
      <c r="F183"/>
      <c r="G183"/>
    </row>
    <row r="184" spans="1:7" x14ac:dyDescent="0.3">
      <c r="A184"/>
      <c r="B184"/>
      <c r="C184"/>
      <c r="F184"/>
      <c r="G184"/>
    </row>
    <row r="185" spans="1:7" x14ac:dyDescent="0.3">
      <c r="A185"/>
      <c r="B185"/>
      <c r="C185"/>
      <c r="F185"/>
      <c r="G185"/>
    </row>
    <row r="186" spans="1:7" x14ac:dyDescent="0.3">
      <c r="A186"/>
      <c r="B186"/>
      <c r="C186"/>
      <c r="F186"/>
      <c r="G186"/>
    </row>
    <row r="187" spans="1:7" x14ac:dyDescent="0.3">
      <c r="A187"/>
      <c r="B187"/>
      <c r="C187"/>
      <c r="F187"/>
      <c r="G187"/>
    </row>
    <row r="188" spans="1:7" x14ac:dyDescent="0.3">
      <c r="A188"/>
      <c r="B188"/>
      <c r="C188"/>
      <c r="F188"/>
      <c r="G188"/>
    </row>
    <row r="189" spans="1:7" x14ac:dyDescent="0.3">
      <c r="A189"/>
      <c r="B189"/>
      <c r="C189"/>
      <c r="F189"/>
      <c r="G189"/>
    </row>
    <row r="190" spans="1:7" x14ac:dyDescent="0.3">
      <c r="A190"/>
      <c r="B190"/>
      <c r="C190"/>
      <c r="F190"/>
      <c r="G190"/>
    </row>
    <row r="191" spans="1:7" x14ac:dyDescent="0.3">
      <c r="A191"/>
      <c r="B191"/>
      <c r="C191"/>
      <c r="F191"/>
      <c r="G191"/>
    </row>
    <row r="192" spans="1:7" x14ac:dyDescent="0.3">
      <c r="A192"/>
      <c r="B192"/>
      <c r="C192"/>
      <c r="F192"/>
      <c r="G192"/>
    </row>
    <row r="193" spans="1:7" x14ac:dyDescent="0.3">
      <c r="A193"/>
      <c r="B193"/>
      <c r="C193"/>
      <c r="F193"/>
      <c r="G193"/>
    </row>
    <row r="194" spans="1:7" x14ac:dyDescent="0.3">
      <c r="A194"/>
      <c r="B194"/>
      <c r="C194"/>
      <c r="F194"/>
      <c r="G194"/>
    </row>
    <row r="195" spans="1:7" x14ac:dyDescent="0.3">
      <c r="A195"/>
      <c r="B195"/>
      <c r="C195"/>
      <c r="F195"/>
      <c r="G195"/>
    </row>
    <row r="196" spans="1:7" x14ac:dyDescent="0.3">
      <c r="A196"/>
      <c r="B196"/>
      <c r="C196"/>
      <c r="F196"/>
      <c r="G196"/>
    </row>
    <row r="197" spans="1:7" x14ac:dyDescent="0.3">
      <c r="A197"/>
      <c r="B197"/>
      <c r="C197"/>
      <c r="F197"/>
      <c r="G197"/>
    </row>
    <row r="198" spans="1:7" x14ac:dyDescent="0.3">
      <c r="A198"/>
      <c r="B198"/>
      <c r="C198"/>
      <c r="F198"/>
      <c r="G198"/>
    </row>
    <row r="199" spans="1:7" x14ac:dyDescent="0.3">
      <c r="A199"/>
      <c r="B199"/>
      <c r="C199"/>
      <c r="F199"/>
      <c r="G199"/>
    </row>
    <row r="200" spans="1:7" x14ac:dyDescent="0.3">
      <c r="A200"/>
      <c r="B200"/>
      <c r="C200"/>
      <c r="F200"/>
      <c r="G200"/>
    </row>
    <row r="201" spans="1:7" x14ac:dyDescent="0.3">
      <c r="A201"/>
      <c r="B201"/>
      <c r="C201"/>
      <c r="F201"/>
      <c r="G201"/>
    </row>
    <row r="202" spans="1:7" x14ac:dyDescent="0.3">
      <c r="A202"/>
      <c r="B202"/>
      <c r="C202"/>
      <c r="F202"/>
      <c r="G202"/>
    </row>
    <row r="203" spans="1:7" x14ac:dyDescent="0.3">
      <c r="A203"/>
      <c r="B203"/>
      <c r="C203"/>
      <c r="F203"/>
      <c r="G203"/>
    </row>
    <row r="204" spans="1:7" x14ac:dyDescent="0.3">
      <c r="A204"/>
      <c r="B204"/>
      <c r="C204"/>
      <c r="F204"/>
      <c r="G204"/>
    </row>
    <row r="205" spans="1:7" x14ac:dyDescent="0.3">
      <c r="A205"/>
      <c r="B205"/>
      <c r="C205"/>
      <c r="F205"/>
      <c r="G205"/>
    </row>
    <row r="206" spans="1:7" x14ac:dyDescent="0.3">
      <c r="A206"/>
      <c r="B206"/>
      <c r="C206"/>
      <c r="F206"/>
      <c r="G206"/>
    </row>
    <row r="207" spans="1:7" x14ac:dyDescent="0.3">
      <c r="A207"/>
      <c r="B207"/>
      <c r="C207"/>
      <c r="F207"/>
      <c r="G207"/>
    </row>
    <row r="208" spans="1:7" x14ac:dyDescent="0.3">
      <c r="A208"/>
      <c r="B208"/>
      <c r="C208"/>
      <c r="F208"/>
      <c r="G208"/>
    </row>
    <row r="209" spans="1:7" x14ac:dyDescent="0.3">
      <c r="A209"/>
      <c r="B209"/>
      <c r="C209"/>
      <c r="F209"/>
      <c r="G209"/>
    </row>
    <row r="210" spans="1:7" x14ac:dyDescent="0.3">
      <c r="A210"/>
      <c r="B210"/>
      <c r="C210"/>
      <c r="F210"/>
      <c r="G210"/>
    </row>
    <row r="211" spans="1:7" x14ac:dyDescent="0.3">
      <c r="A211"/>
      <c r="B211"/>
      <c r="C211"/>
      <c r="F211"/>
      <c r="G211"/>
    </row>
    <row r="212" spans="1:7" x14ac:dyDescent="0.3">
      <c r="A212"/>
      <c r="B212"/>
      <c r="C212"/>
      <c r="F212"/>
      <c r="G212"/>
    </row>
    <row r="213" spans="1:7" x14ac:dyDescent="0.3">
      <c r="A213"/>
      <c r="B213"/>
      <c r="C213"/>
      <c r="F213"/>
      <c r="G213"/>
    </row>
    <row r="214" spans="1:7" x14ac:dyDescent="0.3">
      <c r="A214"/>
      <c r="B214"/>
      <c r="C214"/>
      <c r="F214"/>
      <c r="G214"/>
    </row>
    <row r="215" spans="1:7" x14ac:dyDescent="0.3">
      <c r="A215"/>
      <c r="B215"/>
      <c r="C215"/>
      <c r="F215"/>
      <c r="G215"/>
    </row>
    <row r="216" spans="1:7" x14ac:dyDescent="0.3">
      <c r="A216"/>
      <c r="B216"/>
      <c r="C216"/>
      <c r="F216"/>
      <c r="G216"/>
    </row>
    <row r="217" spans="1:7" x14ac:dyDescent="0.3">
      <c r="A217"/>
      <c r="B217"/>
      <c r="C217"/>
      <c r="F217"/>
      <c r="G217"/>
    </row>
    <row r="218" spans="1:7" x14ac:dyDescent="0.3">
      <c r="A218"/>
      <c r="B218"/>
      <c r="C218"/>
      <c r="F218"/>
      <c r="G218"/>
    </row>
    <row r="219" spans="1:7" x14ac:dyDescent="0.3">
      <c r="A219"/>
      <c r="B219"/>
      <c r="C219"/>
      <c r="F219"/>
      <c r="G219"/>
    </row>
    <row r="220" spans="1:7" x14ac:dyDescent="0.3">
      <c r="A220"/>
      <c r="B220"/>
      <c r="C220"/>
      <c r="F220"/>
      <c r="G220"/>
    </row>
    <row r="221" spans="1:7" x14ac:dyDescent="0.3">
      <c r="A221"/>
      <c r="B221"/>
      <c r="C221"/>
      <c r="F221"/>
      <c r="G221"/>
    </row>
    <row r="222" spans="1:7" x14ac:dyDescent="0.3">
      <c r="A222"/>
      <c r="B222"/>
      <c r="C222"/>
      <c r="F222"/>
      <c r="G222"/>
    </row>
    <row r="223" spans="1:7" x14ac:dyDescent="0.3">
      <c r="A223"/>
      <c r="B223"/>
      <c r="C223"/>
      <c r="F223"/>
      <c r="G223"/>
    </row>
    <row r="224" spans="1:7" x14ac:dyDescent="0.3">
      <c r="A224"/>
      <c r="B224"/>
      <c r="C224"/>
      <c r="F224"/>
      <c r="G224"/>
    </row>
    <row r="225" spans="1:7" x14ac:dyDescent="0.3">
      <c r="A225"/>
      <c r="B225"/>
      <c r="C225"/>
      <c r="F225"/>
      <c r="G225"/>
    </row>
    <row r="226" spans="1:7" x14ac:dyDescent="0.3">
      <c r="A226"/>
      <c r="B226"/>
      <c r="C226"/>
      <c r="F226"/>
      <c r="G226"/>
    </row>
    <row r="227" spans="1:7" x14ac:dyDescent="0.3">
      <c r="A227"/>
      <c r="B227"/>
      <c r="C227"/>
      <c r="F227"/>
      <c r="G227"/>
    </row>
    <row r="228" spans="1:7" x14ac:dyDescent="0.3">
      <c r="A228"/>
      <c r="B228"/>
      <c r="C228"/>
      <c r="F228"/>
      <c r="G228"/>
    </row>
    <row r="229" spans="1:7" x14ac:dyDescent="0.3">
      <c r="A229"/>
      <c r="B229"/>
      <c r="C229"/>
      <c r="F229"/>
      <c r="G229"/>
    </row>
    <row r="230" spans="1:7" x14ac:dyDescent="0.3">
      <c r="A230"/>
      <c r="B230"/>
      <c r="C230"/>
      <c r="F230"/>
      <c r="G230"/>
    </row>
    <row r="231" spans="1:7" x14ac:dyDescent="0.3">
      <c r="A231"/>
      <c r="B231"/>
      <c r="C231"/>
      <c r="F231"/>
      <c r="G231"/>
    </row>
    <row r="232" spans="1:7" x14ac:dyDescent="0.3">
      <c r="A232"/>
      <c r="B232"/>
      <c r="C232"/>
      <c r="F232"/>
      <c r="G232"/>
    </row>
    <row r="233" spans="1:7" x14ac:dyDescent="0.3">
      <c r="A233"/>
      <c r="B233"/>
      <c r="C233"/>
      <c r="F233"/>
      <c r="G233"/>
    </row>
    <row r="234" spans="1:7" x14ac:dyDescent="0.3">
      <c r="A234"/>
      <c r="B234"/>
      <c r="C234"/>
      <c r="F234"/>
      <c r="G234"/>
    </row>
    <row r="235" spans="1:7" x14ac:dyDescent="0.3">
      <c r="A235"/>
      <c r="B235"/>
      <c r="C235"/>
      <c r="F235"/>
      <c r="G235"/>
    </row>
    <row r="236" spans="1:7" x14ac:dyDescent="0.3">
      <c r="A236"/>
      <c r="B236"/>
      <c r="C236"/>
      <c r="F236"/>
      <c r="G236"/>
    </row>
    <row r="237" spans="1:7" x14ac:dyDescent="0.3">
      <c r="A237"/>
      <c r="B237"/>
      <c r="C237"/>
      <c r="F237"/>
      <c r="G237"/>
    </row>
    <row r="238" spans="1:7" x14ac:dyDescent="0.3">
      <c r="A238"/>
      <c r="B238"/>
      <c r="C238"/>
      <c r="F238"/>
      <c r="G238"/>
    </row>
    <row r="239" spans="1:7" x14ac:dyDescent="0.3">
      <c r="A239"/>
      <c r="B239"/>
      <c r="C239"/>
      <c r="F239"/>
      <c r="G239"/>
    </row>
    <row r="240" spans="1:7" x14ac:dyDescent="0.3">
      <c r="A240"/>
      <c r="B240"/>
      <c r="C240"/>
      <c r="F240"/>
      <c r="G240"/>
    </row>
    <row r="241" spans="1:7" x14ac:dyDescent="0.3">
      <c r="A241"/>
      <c r="B241"/>
      <c r="C241"/>
      <c r="F241"/>
      <c r="G241"/>
    </row>
    <row r="242" spans="1:7" x14ac:dyDescent="0.3">
      <c r="A242"/>
      <c r="B242"/>
      <c r="C242"/>
      <c r="F242"/>
      <c r="G242"/>
    </row>
    <row r="243" spans="1:7" x14ac:dyDescent="0.3">
      <c r="A243"/>
      <c r="B243"/>
      <c r="C243"/>
      <c r="F243"/>
      <c r="G243"/>
    </row>
    <row r="244" spans="1:7" x14ac:dyDescent="0.3">
      <c r="A244"/>
      <c r="B244"/>
      <c r="C244"/>
      <c r="F244"/>
      <c r="G244"/>
    </row>
    <row r="245" spans="1:7" x14ac:dyDescent="0.3">
      <c r="A245"/>
      <c r="B245"/>
      <c r="C245"/>
      <c r="F245"/>
      <c r="G245"/>
    </row>
    <row r="246" spans="1:7" x14ac:dyDescent="0.3">
      <c r="A246"/>
      <c r="B246"/>
      <c r="C246"/>
      <c r="F246"/>
      <c r="G246"/>
    </row>
    <row r="247" spans="1:7" x14ac:dyDescent="0.3">
      <c r="A247"/>
      <c r="B247"/>
      <c r="C247"/>
      <c r="F247"/>
      <c r="G247"/>
    </row>
    <row r="248" spans="1:7" x14ac:dyDescent="0.3">
      <c r="A248"/>
      <c r="B248"/>
      <c r="C248"/>
      <c r="F248"/>
      <c r="G248"/>
    </row>
    <row r="249" spans="1:7" x14ac:dyDescent="0.3">
      <c r="A249"/>
      <c r="B249"/>
      <c r="C249"/>
      <c r="F249"/>
      <c r="G249"/>
    </row>
    <row r="250" spans="1:7" x14ac:dyDescent="0.3">
      <c r="A250"/>
      <c r="B250"/>
      <c r="C250"/>
      <c r="F250"/>
      <c r="G250"/>
    </row>
  </sheetData>
  <mergeCells count="11">
    <mergeCell ref="AE1:AH1"/>
    <mergeCell ref="A1:B1"/>
    <mergeCell ref="C1:F1"/>
    <mergeCell ref="G1:J1"/>
    <mergeCell ref="A2:A3"/>
    <mergeCell ref="B2:B3"/>
    <mergeCell ref="K1:N1"/>
    <mergeCell ref="O1:R1"/>
    <mergeCell ref="S1:V1"/>
    <mergeCell ref="W1:Z1"/>
    <mergeCell ref="AA1:A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E351-B3B1-4121-997C-5D4381ACCF73}">
  <dimension ref="A1:Z74"/>
  <sheetViews>
    <sheetView workbookViewId="0">
      <selection activeCell="O5" sqref="O5"/>
    </sheetView>
  </sheetViews>
  <sheetFormatPr defaultRowHeight="15.6" x14ac:dyDescent="0.3"/>
  <cols>
    <col min="1" max="1" width="5.19921875" style="9" customWidth="1"/>
    <col min="2" max="2" width="10.69921875" style="5" bestFit="1" customWidth="1"/>
    <col min="3" max="3" width="11.69921875" style="4" bestFit="1" customWidth="1"/>
    <col min="5" max="5" width="10.69921875" bestFit="1" customWidth="1"/>
    <col min="6" max="6" width="8.69921875" style="5"/>
    <col min="7" max="7" width="10.69921875" style="4" bestFit="1" customWidth="1"/>
    <col min="9" max="9" width="10.69921875" bestFit="1" customWidth="1"/>
    <col min="11" max="11" width="10.69921875" style="4" bestFit="1" customWidth="1"/>
    <col min="13" max="13" width="11.69921875" bestFit="1" customWidth="1"/>
    <col min="14" max="14" width="8.69921875" style="5"/>
    <col min="15" max="15" width="11.69921875" style="4" bestFit="1" customWidth="1"/>
    <col min="17" max="17" width="11.69921875" bestFit="1" customWidth="1"/>
    <col min="18" max="18" width="8.69921875" style="5"/>
    <col min="19" max="19" width="10.69921875" style="4" bestFit="1" customWidth="1"/>
    <col min="21" max="21" width="11.69921875" bestFit="1" customWidth="1"/>
    <col min="22" max="22" width="8.69921875" style="5"/>
    <col min="23" max="23" width="8.69921875" style="4"/>
    <col min="26" max="26" width="8.69921875" style="5"/>
  </cols>
  <sheetData>
    <row r="1" spans="1:26" s="6" customFormat="1" ht="19.5" customHeight="1" thickTop="1" thickBot="1" x14ac:dyDescent="0.35">
      <c r="A1" s="60" t="s">
        <v>13</v>
      </c>
      <c r="B1" s="61"/>
      <c r="C1" s="59"/>
      <c r="D1" s="59"/>
      <c r="E1" s="6">
        <v>0.3</v>
      </c>
      <c r="F1" s="6">
        <v>0.1</v>
      </c>
      <c r="G1" s="59"/>
      <c r="H1" s="59"/>
      <c r="I1" s="6">
        <v>0.5</v>
      </c>
      <c r="J1" s="6">
        <v>0.5</v>
      </c>
      <c r="K1" s="59"/>
      <c r="L1" s="59"/>
      <c r="M1" s="6">
        <v>0.95</v>
      </c>
      <c r="N1" s="6">
        <v>0.05</v>
      </c>
      <c r="Q1" s="6">
        <v>0.6</v>
      </c>
      <c r="R1" s="6">
        <v>0.05</v>
      </c>
      <c r="U1" s="6">
        <v>0.3</v>
      </c>
      <c r="V1" s="6">
        <v>0.1</v>
      </c>
      <c r="Y1" s="6">
        <v>0.05</v>
      </c>
      <c r="Z1" s="6">
        <v>0.95</v>
      </c>
    </row>
    <row r="2" spans="1:26" s="7" customFormat="1" ht="19.5" customHeight="1" thickTop="1" thickBot="1" x14ac:dyDescent="4.2">
      <c r="A2" s="60"/>
      <c r="B2" s="61"/>
      <c r="D2" s="8"/>
      <c r="H2" s="8"/>
      <c r="L2" s="8"/>
      <c r="P2" s="8"/>
      <c r="T2" s="8"/>
      <c r="X2" s="8"/>
    </row>
    <row r="3" spans="1:26" ht="16.2" thickTop="1" x14ac:dyDescent="0.3">
      <c r="A3" s="9">
        <v>1</v>
      </c>
      <c r="B3" s="5">
        <v>4936881.99</v>
      </c>
      <c r="C3" s="4">
        <v>4936881.99</v>
      </c>
      <c r="D3">
        <v>0</v>
      </c>
      <c r="E3">
        <v>4936881.99</v>
      </c>
      <c r="F3" s="5">
        <v>0</v>
      </c>
      <c r="G3" s="4">
        <v>4936881.99</v>
      </c>
      <c r="H3">
        <v>0</v>
      </c>
      <c r="I3">
        <v>4936881.99</v>
      </c>
      <c r="J3">
        <v>0</v>
      </c>
      <c r="K3" s="4">
        <v>4936881.99</v>
      </c>
      <c r="L3">
        <v>0</v>
      </c>
      <c r="M3">
        <v>4936881.99</v>
      </c>
      <c r="N3">
        <v>0</v>
      </c>
      <c r="O3" s="4">
        <v>4936881.99</v>
      </c>
      <c r="P3">
        <v>0</v>
      </c>
      <c r="Q3">
        <v>4936881.99</v>
      </c>
      <c r="R3">
        <v>0</v>
      </c>
    </row>
    <row r="4" spans="1:26" x14ac:dyDescent="0.3">
      <c r="A4" s="9">
        <v>2</v>
      </c>
      <c r="B4" s="5">
        <v>4942919.76</v>
      </c>
      <c r="C4" s="4">
        <f>(($E$1*B4)+((1-$E$1)*(C3+D3)))</f>
        <v>4938693.3210000005</v>
      </c>
      <c r="D4">
        <f>$F$1*(C4-C3)+(1-$F$1)*D3</f>
        <v>181.13310000002386</v>
      </c>
      <c r="E4">
        <f>C3+D3</f>
        <v>4936881.99</v>
      </c>
      <c r="F4" s="5">
        <f>B4-E4</f>
        <v>6037.769999999553</v>
      </c>
      <c r="G4" s="4">
        <f>(($I$1*B4)+((1-$I$1)*(G3+H3)))</f>
        <v>4939900.875</v>
      </c>
      <c r="H4">
        <f>$J$1*(G4-G3)+(1-$J$1)*H3</f>
        <v>1509.4424999998882</v>
      </c>
      <c r="I4">
        <f>G3+H3</f>
        <v>4936881.99</v>
      </c>
      <c r="J4">
        <f>B4-I4</f>
        <v>6037.769999999553</v>
      </c>
      <c r="K4" s="4">
        <f>($M$1*B4)+(1-$M$1)*(K3+L3)</f>
        <v>4942617.8715000004</v>
      </c>
      <c r="L4">
        <f>$N$1*(K4-K3)+(1-$N$1)*L3</f>
        <v>286.79407500000673</v>
      </c>
      <c r="M4">
        <f>K3+L3</f>
        <v>4936881.99</v>
      </c>
      <c r="N4" s="5">
        <f>B4-M4</f>
        <v>6037.769999999553</v>
      </c>
      <c r="O4" s="4">
        <f>($Q$1*B4)+(1-$Q$1)*(O3+P3)</f>
        <v>4940504.6519999998</v>
      </c>
      <c r="P4">
        <f>$R$1*(O4-O3)+(1-$R$1)*P3</f>
        <v>181.13309999997728</v>
      </c>
      <c r="Q4">
        <f>O3+P3</f>
        <v>4936881.99</v>
      </c>
      <c r="R4">
        <f>B4-Q4</f>
        <v>6037.769999999553</v>
      </c>
    </row>
    <row r="5" spans="1:26" x14ac:dyDescent="0.3">
      <c r="A5" s="9">
        <v>3</v>
      </c>
      <c r="B5" s="5">
        <v>5017643.55</v>
      </c>
      <c r="C5" s="4">
        <f t="shared" ref="C5:C68" si="0">(($E$1*B5)+((1-$E$1)*(C4+D4)))</f>
        <v>4962505.1828700006</v>
      </c>
      <c r="D5">
        <f t="shared" ref="D5:D68" si="1">$F$1*(C5-C4)+(1-$F$1)*D4</f>
        <v>2544.2059770000355</v>
      </c>
      <c r="E5">
        <f t="shared" ref="E5:E68" si="2">C4+D4</f>
        <v>4938874.4541000007</v>
      </c>
      <c r="F5" s="5">
        <f t="shared" ref="F5:F68" si="3">B5-E5</f>
        <v>78769.095899999142</v>
      </c>
      <c r="G5" s="4">
        <f t="shared" ref="G5:G68" si="4">(($I$1*B5)+((1-$I$1)*(G4+H4)))</f>
        <v>4979526.9337499999</v>
      </c>
      <c r="H5">
        <f t="shared" ref="H5:H68" si="5">$J$1*(G5-G4)+(1-$J$1)*H4</f>
        <v>20567.75062499987</v>
      </c>
      <c r="I5">
        <f>G4+H4</f>
        <v>4941410.3174999999</v>
      </c>
      <c r="J5">
        <f t="shared" ref="J5:J68" si="6">B5-I5</f>
        <v>76233.232499999925</v>
      </c>
      <c r="K5" s="4">
        <f t="shared" ref="K5:K68" si="7">($M$1*B5)+(1-$M$1)*(K4+L4)</f>
        <v>5013906.60577875</v>
      </c>
      <c r="L5">
        <f t="shared" ref="L5:L68" si="8">$N$1*(K5-K4)+(1-$N$1)*L4</f>
        <v>3836.8910851874903</v>
      </c>
      <c r="M5">
        <f t="shared" ref="M5:M68" si="9">K4+L4</f>
        <v>4942904.6655750005</v>
      </c>
      <c r="N5" s="5">
        <f t="shared" ref="N5:N68" si="10">B5-M5</f>
        <v>74738.884424999356</v>
      </c>
      <c r="O5" s="4">
        <f t="shared" ref="O5:O68" si="11">($Q$1*B5)+(1-$Q$1)*(O4+P4)</f>
        <v>4986860.4440400004</v>
      </c>
      <c r="P5">
        <f t="shared" ref="P5:P68" si="12">$R$1*(O5-O4)+(1-$R$1)*P4</f>
        <v>2489.8660470000118</v>
      </c>
      <c r="Q5">
        <f t="shared" ref="Q5:Q68" si="13">O4+P4</f>
        <v>4940685.7851</v>
      </c>
      <c r="R5">
        <f t="shared" ref="R5:R68" si="14">B5-Q5</f>
        <v>76957.764899999835</v>
      </c>
    </row>
    <row r="6" spans="1:26" x14ac:dyDescent="0.3">
      <c r="A6" s="9">
        <v>4</v>
      </c>
      <c r="B6" s="5">
        <v>5033780.29</v>
      </c>
      <c r="C6" s="4">
        <f t="shared" si="0"/>
        <v>4985668.6591929002</v>
      </c>
      <c r="D6">
        <f t="shared" si="1"/>
        <v>4606.1330115899891</v>
      </c>
      <c r="E6">
        <f t="shared" si="2"/>
        <v>4965049.3888470009</v>
      </c>
      <c r="F6" s="5">
        <f t="shared" si="3"/>
        <v>68730.90115299914</v>
      </c>
      <c r="G6" s="4">
        <f t="shared" si="4"/>
        <v>5016937.4871874992</v>
      </c>
      <c r="H6">
        <f t="shared" si="5"/>
        <v>28989.1520312496</v>
      </c>
      <c r="I6">
        <f t="shared" ref="I6:I68" si="15">G5+H5</f>
        <v>5000094.6843749993</v>
      </c>
      <c r="J6">
        <f t="shared" si="6"/>
        <v>33685.605625000782</v>
      </c>
      <c r="K6" s="4">
        <f t="shared" si="7"/>
        <v>5032978.4503431963</v>
      </c>
      <c r="L6">
        <f t="shared" si="8"/>
        <v>4598.6387591504281</v>
      </c>
      <c r="M6">
        <f t="shared" si="9"/>
        <v>5017743.4968639379</v>
      </c>
      <c r="N6" s="5">
        <f t="shared" si="10"/>
        <v>16036.793136062101</v>
      </c>
      <c r="O6" s="4">
        <f t="shared" si="11"/>
        <v>5016008.2980348002</v>
      </c>
      <c r="P6">
        <f t="shared" si="12"/>
        <v>3822.7654443900001</v>
      </c>
      <c r="Q6">
        <f t="shared" si="13"/>
        <v>4989350.310087</v>
      </c>
      <c r="R6">
        <f t="shared" si="14"/>
        <v>44429.979913000017</v>
      </c>
    </row>
    <row r="7" spans="1:26" x14ac:dyDescent="0.3">
      <c r="A7" s="9">
        <v>5</v>
      </c>
      <c r="B7" s="5">
        <v>5125383.79</v>
      </c>
      <c r="C7" s="4">
        <f t="shared" si="0"/>
        <v>5030807.4915431431</v>
      </c>
      <c r="D7">
        <f t="shared" si="1"/>
        <v>8659.4029454552783</v>
      </c>
      <c r="E7">
        <f t="shared" si="2"/>
        <v>4990274.7922044899</v>
      </c>
      <c r="F7" s="5">
        <f t="shared" si="3"/>
        <v>135108.99779551011</v>
      </c>
      <c r="G7" s="4">
        <f t="shared" si="4"/>
        <v>5085655.2146093743</v>
      </c>
      <c r="H7">
        <f t="shared" si="5"/>
        <v>48853.439726562356</v>
      </c>
      <c r="I7">
        <f t="shared" si="15"/>
        <v>5045926.6392187485</v>
      </c>
      <c r="J7">
        <f t="shared" si="6"/>
        <v>79457.15078125149</v>
      </c>
      <c r="K7" s="4">
        <f t="shared" si="7"/>
        <v>5120993.4549551168</v>
      </c>
      <c r="L7">
        <f t="shared" si="8"/>
        <v>8769.4570517889351</v>
      </c>
      <c r="M7">
        <f t="shared" si="9"/>
        <v>5037577.0891023465</v>
      </c>
      <c r="N7" s="5">
        <f t="shared" si="10"/>
        <v>87806.700897653587</v>
      </c>
      <c r="O7" s="4">
        <f t="shared" si="11"/>
        <v>5083162.6993916761</v>
      </c>
      <c r="P7">
        <f t="shared" si="12"/>
        <v>6989.3472400142946</v>
      </c>
      <c r="Q7">
        <f t="shared" si="13"/>
        <v>5019831.0634791898</v>
      </c>
      <c r="R7">
        <f t="shared" si="14"/>
        <v>105552.72652081028</v>
      </c>
    </row>
    <row r="8" spans="1:26" x14ac:dyDescent="0.3">
      <c r="A8" s="9">
        <v>6</v>
      </c>
      <c r="B8" s="5">
        <v>5225165.76</v>
      </c>
      <c r="C8" s="4">
        <f t="shared" si="0"/>
        <v>5095176.5541420188</v>
      </c>
      <c r="D8">
        <f t="shared" si="1"/>
        <v>14230.368910797322</v>
      </c>
      <c r="E8">
        <f t="shared" si="2"/>
        <v>5039466.8944885982</v>
      </c>
      <c r="F8" s="5">
        <f t="shared" si="3"/>
        <v>185698.86551140156</v>
      </c>
      <c r="G8" s="4">
        <f t="shared" si="4"/>
        <v>5179837.2071679682</v>
      </c>
      <c r="H8">
        <f t="shared" si="5"/>
        <v>71517.716142578109</v>
      </c>
      <c r="I8">
        <f t="shared" si="15"/>
        <v>5134508.6543359365</v>
      </c>
      <c r="J8">
        <f t="shared" si="6"/>
        <v>90657.105664063245</v>
      </c>
      <c r="K8" s="4">
        <f t="shared" si="7"/>
        <v>5220395.6176003451</v>
      </c>
      <c r="L8">
        <f t="shared" si="8"/>
        <v>13301.092331460899</v>
      </c>
      <c r="M8">
        <f t="shared" si="9"/>
        <v>5129762.9120069062</v>
      </c>
      <c r="N8" s="5">
        <f t="shared" si="10"/>
        <v>95402.847993093543</v>
      </c>
      <c r="O8" s="4">
        <f t="shared" si="11"/>
        <v>5171160.2746526757</v>
      </c>
      <c r="P8">
        <f t="shared" si="12"/>
        <v>11039.758641063559</v>
      </c>
      <c r="Q8">
        <f t="shared" si="13"/>
        <v>5090152.0466316901</v>
      </c>
      <c r="R8">
        <f t="shared" si="14"/>
        <v>135013.71336830966</v>
      </c>
    </row>
    <row r="9" spans="1:26" x14ac:dyDescent="0.3">
      <c r="A9" s="9">
        <v>7</v>
      </c>
      <c r="B9" s="5">
        <v>5178078.75</v>
      </c>
      <c r="C9" s="4">
        <f t="shared" si="0"/>
        <v>5130008.4711369704</v>
      </c>
      <c r="D9">
        <f t="shared" si="1"/>
        <v>16290.523719212757</v>
      </c>
      <c r="E9">
        <f t="shared" si="2"/>
        <v>5109406.9230528157</v>
      </c>
      <c r="F9" s="5">
        <f t="shared" si="3"/>
        <v>68671.82694718428</v>
      </c>
      <c r="G9" s="4">
        <f t="shared" si="4"/>
        <v>5214716.8366552731</v>
      </c>
      <c r="H9">
        <f t="shared" si="5"/>
        <v>53198.672814941528</v>
      </c>
      <c r="I9">
        <f t="shared" si="15"/>
        <v>5251354.9233105462</v>
      </c>
      <c r="J9">
        <f t="shared" si="6"/>
        <v>-73276.173310546204</v>
      </c>
      <c r="K9" s="4">
        <f t="shared" si="7"/>
        <v>5180859.6479965905</v>
      </c>
      <c r="L9">
        <f t="shared" si="8"/>
        <v>10659.239234700126</v>
      </c>
      <c r="M9">
        <f t="shared" si="9"/>
        <v>5233696.7099318057</v>
      </c>
      <c r="N9" s="5">
        <f t="shared" si="10"/>
        <v>-55617.95993180573</v>
      </c>
      <c r="O9" s="4">
        <f t="shared" si="11"/>
        <v>5179727.2633174956</v>
      </c>
      <c r="P9">
        <f t="shared" si="12"/>
        <v>10916.120142251375</v>
      </c>
      <c r="Q9">
        <f t="shared" si="13"/>
        <v>5182200.033293739</v>
      </c>
      <c r="R9">
        <f t="shared" si="14"/>
        <v>-4121.2832937389612</v>
      </c>
    </row>
    <row r="10" spans="1:26" x14ac:dyDescent="0.3">
      <c r="A10" s="9">
        <v>8</v>
      </c>
      <c r="B10" s="5">
        <v>5219647.63</v>
      </c>
      <c r="C10" s="4">
        <f t="shared" si="0"/>
        <v>5168303.5853993278</v>
      </c>
      <c r="D10">
        <f t="shared" si="1"/>
        <v>18490.982773527216</v>
      </c>
      <c r="E10">
        <f t="shared" si="2"/>
        <v>5146298.9948561834</v>
      </c>
      <c r="F10" s="5">
        <f t="shared" si="3"/>
        <v>73348.635143816471</v>
      </c>
      <c r="G10" s="4">
        <f t="shared" si="4"/>
        <v>5243781.5697351079</v>
      </c>
      <c r="H10">
        <f t="shared" si="5"/>
        <v>41131.702947388185</v>
      </c>
      <c r="I10">
        <f t="shared" si="15"/>
        <v>5267915.5094702151</v>
      </c>
      <c r="J10">
        <f t="shared" si="6"/>
        <v>-48267.879470215179</v>
      </c>
      <c r="K10" s="4">
        <f t="shared" si="7"/>
        <v>5218241.1928615645</v>
      </c>
      <c r="L10">
        <f t="shared" si="8"/>
        <v>11995.354516213818</v>
      </c>
      <c r="M10">
        <f t="shared" si="9"/>
        <v>5191518.8872312903</v>
      </c>
      <c r="N10" s="5">
        <f t="shared" si="10"/>
        <v>28128.742768709548</v>
      </c>
      <c r="O10" s="4">
        <f t="shared" si="11"/>
        <v>5208045.9313838985</v>
      </c>
      <c r="P10">
        <f t="shared" si="12"/>
        <v>11786.247538458951</v>
      </c>
      <c r="Q10">
        <f t="shared" si="13"/>
        <v>5190643.3834597468</v>
      </c>
      <c r="R10">
        <f t="shared" si="14"/>
        <v>29004.246540253051</v>
      </c>
    </row>
    <row r="11" spans="1:26" x14ac:dyDescent="0.3">
      <c r="A11" s="9">
        <v>9</v>
      </c>
      <c r="B11" s="5">
        <v>5254138.51</v>
      </c>
      <c r="C11" s="4">
        <f t="shared" si="0"/>
        <v>5206997.7507209983</v>
      </c>
      <c r="D11">
        <f t="shared" si="1"/>
        <v>20511.301028341542</v>
      </c>
      <c r="E11">
        <f t="shared" si="2"/>
        <v>5186794.5681728553</v>
      </c>
      <c r="F11" s="5">
        <f t="shared" si="3"/>
        <v>67343.941827144474</v>
      </c>
      <c r="G11" s="4">
        <f t="shared" si="4"/>
        <v>5269525.8913412485</v>
      </c>
      <c r="H11">
        <f t="shared" si="5"/>
        <v>33438.012276764384</v>
      </c>
      <c r="I11">
        <f t="shared" si="15"/>
        <v>5284913.2726824963</v>
      </c>
      <c r="J11">
        <f t="shared" si="6"/>
        <v>-30774.76268249657</v>
      </c>
      <c r="K11" s="4">
        <f t="shared" si="7"/>
        <v>5252943.4118688889</v>
      </c>
      <c r="L11">
        <f t="shared" si="8"/>
        <v>13130.697740769348</v>
      </c>
      <c r="M11">
        <f t="shared" si="9"/>
        <v>5230236.5473777782</v>
      </c>
      <c r="N11" s="5">
        <f t="shared" si="10"/>
        <v>23901.962622221559</v>
      </c>
      <c r="O11" s="4">
        <f t="shared" si="11"/>
        <v>5240415.9775689431</v>
      </c>
      <c r="P11">
        <f t="shared" si="12"/>
        <v>12815.437470788231</v>
      </c>
      <c r="Q11">
        <f t="shared" si="13"/>
        <v>5219832.178922357</v>
      </c>
      <c r="R11">
        <f t="shared" si="14"/>
        <v>34306.331077642739</v>
      </c>
    </row>
    <row r="12" spans="1:26" x14ac:dyDescent="0.3">
      <c r="A12" s="9">
        <v>10</v>
      </c>
      <c r="B12" s="5">
        <v>5284320.16</v>
      </c>
      <c r="C12" s="4">
        <f t="shared" si="0"/>
        <v>5244552.3842245378</v>
      </c>
      <c r="D12">
        <f t="shared" si="1"/>
        <v>22215.634275861335</v>
      </c>
      <c r="E12">
        <f t="shared" si="2"/>
        <v>5227509.0517493403</v>
      </c>
      <c r="F12" s="5">
        <f t="shared" si="3"/>
        <v>56811.10825065989</v>
      </c>
      <c r="G12" s="4">
        <f t="shared" si="4"/>
        <v>5293642.0318090059</v>
      </c>
      <c r="H12">
        <f t="shared" si="5"/>
        <v>28777.076372260872</v>
      </c>
      <c r="I12">
        <f t="shared" si="15"/>
        <v>5302963.9036180126</v>
      </c>
      <c r="J12">
        <f t="shared" si="6"/>
        <v>-18643.743618012406</v>
      </c>
      <c r="K12" s="4">
        <f t="shared" si="7"/>
        <v>5283407.8574804831</v>
      </c>
      <c r="L12">
        <f t="shared" si="8"/>
        <v>13997.385134310593</v>
      </c>
      <c r="M12">
        <f t="shared" si="9"/>
        <v>5266074.1096096579</v>
      </c>
      <c r="N12" s="5">
        <f t="shared" si="10"/>
        <v>18246.05039034225</v>
      </c>
      <c r="O12" s="4">
        <f t="shared" si="11"/>
        <v>5271884.6620158926</v>
      </c>
      <c r="P12">
        <f t="shared" si="12"/>
        <v>13748.099819596295</v>
      </c>
      <c r="Q12">
        <f t="shared" si="13"/>
        <v>5253231.4150397312</v>
      </c>
      <c r="R12">
        <f t="shared" si="14"/>
        <v>31088.744960268959</v>
      </c>
    </row>
    <row r="13" spans="1:26" x14ac:dyDescent="0.3">
      <c r="A13" s="9">
        <v>11</v>
      </c>
      <c r="B13" s="5">
        <v>5321431.7699999996</v>
      </c>
      <c r="C13" s="4">
        <f t="shared" si="0"/>
        <v>5283167.1439502789</v>
      </c>
      <c r="D13">
        <f t="shared" si="1"/>
        <v>23855.546820849311</v>
      </c>
      <c r="E13">
        <f t="shared" si="2"/>
        <v>5266768.0185003988</v>
      </c>
      <c r="F13" s="5">
        <f t="shared" si="3"/>
        <v>54663.751499600708</v>
      </c>
      <c r="G13" s="4">
        <f t="shared" si="4"/>
        <v>5321925.4390906338</v>
      </c>
      <c r="H13">
        <f t="shared" si="5"/>
        <v>28530.241826944373</v>
      </c>
      <c r="I13">
        <f t="shared" si="15"/>
        <v>5322419.108181267</v>
      </c>
      <c r="J13">
        <f t="shared" si="6"/>
        <v>-987.33818126749247</v>
      </c>
      <c r="K13" s="4">
        <f t="shared" si="7"/>
        <v>5320230.4436307391</v>
      </c>
      <c r="L13">
        <f t="shared" si="8"/>
        <v>15138.645185107862</v>
      </c>
      <c r="M13">
        <f t="shared" si="9"/>
        <v>5297405.2426147936</v>
      </c>
      <c r="N13" s="5">
        <f t="shared" si="10"/>
        <v>24026.527385205962</v>
      </c>
      <c r="O13" s="4">
        <f t="shared" si="11"/>
        <v>5307112.1667341944</v>
      </c>
      <c r="P13">
        <f t="shared" si="12"/>
        <v>14822.07006453157</v>
      </c>
      <c r="Q13">
        <f t="shared" si="13"/>
        <v>5285632.7618354885</v>
      </c>
      <c r="R13">
        <f t="shared" si="14"/>
        <v>35799.008164511062</v>
      </c>
    </row>
    <row r="14" spans="1:26" x14ac:dyDescent="0.3">
      <c r="A14" s="9">
        <v>12</v>
      </c>
      <c r="B14" s="5">
        <v>5419165.0499999998</v>
      </c>
      <c r="C14" s="4">
        <f t="shared" si="0"/>
        <v>5340665.398539789</v>
      </c>
      <c r="D14">
        <f t="shared" si="1"/>
        <v>27219.817597715395</v>
      </c>
      <c r="E14">
        <f t="shared" si="2"/>
        <v>5307022.6907711281</v>
      </c>
      <c r="F14" s="5">
        <f t="shared" si="3"/>
        <v>112142.35922887176</v>
      </c>
      <c r="G14" s="4">
        <f t="shared" si="4"/>
        <v>5384810.3654587884</v>
      </c>
      <c r="H14">
        <f t="shared" si="5"/>
        <v>45707.584097549479</v>
      </c>
      <c r="I14">
        <f t="shared" si="15"/>
        <v>5350455.6809175778</v>
      </c>
      <c r="J14">
        <f t="shared" si="6"/>
        <v>68709.369082421996</v>
      </c>
      <c r="K14" s="4">
        <f t="shared" si="7"/>
        <v>5414975.2519407924</v>
      </c>
      <c r="L14">
        <f t="shared" si="8"/>
        <v>19118.953341355133</v>
      </c>
      <c r="M14">
        <f t="shared" si="9"/>
        <v>5335369.0888158474</v>
      </c>
      <c r="N14" s="5">
        <f t="shared" si="10"/>
        <v>83795.961184152402</v>
      </c>
      <c r="O14" s="4">
        <f t="shared" si="11"/>
        <v>5380272.7247194909</v>
      </c>
      <c r="P14">
        <f t="shared" si="12"/>
        <v>17738.994460569815</v>
      </c>
      <c r="Q14">
        <f t="shared" si="13"/>
        <v>5321934.236798726</v>
      </c>
      <c r="R14">
        <f t="shared" si="14"/>
        <v>97230.813201273791</v>
      </c>
    </row>
    <row r="15" spans="1:26" x14ac:dyDescent="0.3">
      <c r="A15" s="9">
        <v>13</v>
      </c>
      <c r="B15" s="5">
        <v>5351684.67</v>
      </c>
      <c r="C15" s="4">
        <f t="shared" si="0"/>
        <v>5363025.0522962529</v>
      </c>
      <c r="D15">
        <f t="shared" si="1"/>
        <v>26733.801213590246</v>
      </c>
      <c r="E15">
        <f t="shared" si="2"/>
        <v>5367885.2161375042</v>
      </c>
      <c r="F15" s="5">
        <f t="shared" si="3"/>
        <v>-16200.54613750428</v>
      </c>
      <c r="G15" s="4">
        <f t="shared" si="4"/>
        <v>5391101.3097781688</v>
      </c>
      <c r="H15">
        <f t="shared" si="5"/>
        <v>25999.264208464963</v>
      </c>
      <c r="I15">
        <f t="shared" si="15"/>
        <v>5430517.9495563377</v>
      </c>
      <c r="J15">
        <f t="shared" si="6"/>
        <v>-78833.279556337744</v>
      </c>
      <c r="K15" s="4">
        <f t="shared" si="7"/>
        <v>5355805.146764107</v>
      </c>
      <c r="L15">
        <f t="shared" si="8"/>
        <v>15204.500415453105</v>
      </c>
      <c r="M15">
        <f t="shared" si="9"/>
        <v>5434094.205282148</v>
      </c>
      <c r="N15" s="5">
        <f t="shared" si="10"/>
        <v>-82409.535282148048</v>
      </c>
      <c r="O15" s="4">
        <f t="shared" si="11"/>
        <v>5370215.4896720238</v>
      </c>
      <c r="P15">
        <f t="shared" si="12"/>
        <v>16349.182985167972</v>
      </c>
      <c r="Q15">
        <f t="shared" si="13"/>
        <v>5398011.7191800606</v>
      </c>
      <c r="R15">
        <f t="shared" si="14"/>
        <v>-46327.049180060625</v>
      </c>
    </row>
    <row r="16" spans="1:26" x14ac:dyDescent="0.3">
      <c r="A16" s="9">
        <v>14</v>
      </c>
      <c r="B16" s="5">
        <v>5351650.33</v>
      </c>
      <c r="C16" s="4">
        <f t="shared" si="0"/>
        <v>5378326.2964568902</v>
      </c>
      <c r="D16">
        <f t="shared" si="1"/>
        <v>25590.545508294948</v>
      </c>
      <c r="E16">
        <f t="shared" si="2"/>
        <v>5389758.8535098433</v>
      </c>
      <c r="F16" s="5">
        <f t="shared" si="3"/>
        <v>-38108.523509843275</v>
      </c>
      <c r="G16" s="4">
        <f t="shared" si="4"/>
        <v>5384375.4519933164</v>
      </c>
      <c r="H16">
        <f t="shared" si="5"/>
        <v>9636.7032118062889</v>
      </c>
      <c r="I16">
        <f t="shared" si="15"/>
        <v>5417100.5739866337</v>
      </c>
      <c r="J16">
        <f t="shared" si="6"/>
        <v>-65450.243986633606</v>
      </c>
      <c r="K16" s="4">
        <f t="shared" si="7"/>
        <v>5352618.2958589783</v>
      </c>
      <c r="L16">
        <f t="shared" si="8"/>
        <v>14284.932849424013</v>
      </c>
      <c r="M16">
        <f t="shared" si="9"/>
        <v>5371009.6471795598</v>
      </c>
      <c r="N16" s="5">
        <f t="shared" si="10"/>
        <v>-19359.31717955973</v>
      </c>
      <c r="O16" s="4">
        <f t="shared" si="11"/>
        <v>5365616.0670628771</v>
      </c>
      <c r="P16">
        <f t="shared" si="12"/>
        <v>15301.75270545224</v>
      </c>
      <c r="Q16">
        <f t="shared" si="13"/>
        <v>5386564.6726571918</v>
      </c>
      <c r="R16">
        <f t="shared" si="14"/>
        <v>-34914.342657191679</v>
      </c>
    </row>
    <row r="17" spans="1:18" x14ac:dyDescent="0.3">
      <c r="A17" s="9">
        <v>15</v>
      </c>
      <c r="B17" s="5">
        <v>5395826.04</v>
      </c>
      <c r="C17" s="4">
        <f t="shared" si="0"/>
        <v>5401489.6013756301</v>
      </c>
      <c r="D17">
        <f t="shared" si="1"/>
        <v>25347.821449339452</v>
      </c>
      <c r="E17">
        <f t="shared" si="2"/>
        <v>5403916.8419651855</v>
      </c>
      <c r="F17" s="5">
        <f t="shared" si="3"/>
        <v>-8090.8019651854411</v>
      </c>
      <c r="G17" s="4">
        <f t="shared" si="4"/>
        <v>5394919.0976025611</v>
      </c>
      <c r="H17">
        <f t="shared" si="5"/>
        <v>10090.174410525497</v>
      </c>
      <c r="I17">
        <f t="shared" si="15"/>
        <v>5394012.1552051231</v>
      </c>
      <c r="J17">
        <f t="shared" si="6"/>
        <v>1813.8847948769107</v>
      </c>
      <c r="K17" s="4">
        <f t="shared" si="7"/>
        <v>5394379.8994354205</v>
      </c>
      <c r="L17">
        <f t="shared" si="8"/>
        <v>15658.766385774921</v>
      </c>
      <c r="M17">
        <f t="shared" si="9"/>
        <v>5366903.2287084023</v>
      </c>
      <c r="N17" s="5">
        <f t="shared" si="10"/>
        <v>28922.811291597784</v>
      </c>
      <c r="O17" s="4">
        <f t="shared" si="11"/>
        <v>5389862.7519073319</v>
      </c>
      <c r="P17">
        <f t="shared" si="12"/>
        <v>15748.999312402366</v>
      </c>
      <c r="Q17">
        <f t="shared" si="13"/>
        <v>5380917.8197683292</v>
      </c>
      <c r="R17">
        <f t="shared" si="14"/>
        <v>14908.220231670886</v>
      </c>
    </row>
    <row r="18" spans="1:18" x14ac:dyDescent="0.3">
      <c r="A18" s="9">
        <v>16</v>
      </c>
      <c r="B18" s="5">
        <v>5409088.8099999996</v>
      </c>
      <c r="C18" s="4">
        <f t="shared" si="0"/>
        <v>5421512.8389774784</v>
      </c>
      <c r="D18">
        <f t="shared" si="1"/>
        <v>24815.363064590336</v>
      </c>
      <c r="E18">
        <f t="shared" si="2"/>
        <v>5426837.4228249695</v>
      </c>
      <c r="F18" s="5">
        <f t="shared" si="3"/>
        <v>-17748.612824969925</v>
      </c>
      <c r="G18" s="4">
        <f t="shared" si="4"/>
        <v>5407049.0410065427</v>
      </c>
      <c r="H18">
        <f t="shared" si="5"/>
        <v>11110.058907253562</v>
      </c>
      <c r="I18">
        <f t="shared" si="15"/>
        <v>5405009.2720130868</v>
      </c>
      <c r="J18">
        <f t="shared" si="6"/>
        <v>4079.5379869127646</v>
      </c>
      <c r="K18" s="4">
        <f t="shared" si="7"/>
        <v>5409136.302791059</v>
      </c>
      <c r="L18">
        <f t="shared" si="8"/>
        <v>15613.648234268099</v>
      </c>
      <c r="M18">
        <f t="shared" si="9"/>
        <v>5410038.6658211956</v>
      </c>
      <c r="N18" s="5">
        <f t="shared" si="10"/>
        <v>-949.85582119598985</v>
      </c>
      <c r="O18" s="4">
        <f t="shared" si="11"/>
        <v>5407697.9864878934</v>
      </c>
      <c r="P18">
        <f t="shared" si="12"/>
        <v>15853.311075810323</v>
      </c>
      <c r="Q18">
        <f t="shared" si="13"/>
        <v>5405611.7512197345</v>
      </c>
      <c r="R18">
        <f t="shared" si="14"/>
        <v>3477.0587802650407</v>
      </c>
    </row>
    <row r="19" spans="1:18" x14ac:dyDescent="0.3">
      <c r="A19" s="9">
        <v>17</v>
      </c>
      <c r="B19" s="5">
        <v>5435082.9299999997</v>
      </c>
      <c r="C19" s="4">
        <f t="shared" si="0"/>
        <v>5442954.6204294479</v>
      </c>
      <c r="D19">
        <f t="shared" si="1"/>
        <v>24478.004903328241</v>
      </c>
      <c r="E19">
        <f t="shared" si="2"/>
        <v>5446328.2020420684</v>
      </c>
      <c r="F19" s="5">
        <f t="shared" si="3"/>
        <v>-11245.272042068653</v>
      </c>
      <c r="G19" s="4">
        <f t="shared" si="4"/>
        <v>5426621.0149568981</v>
      </c>
      <c r="H19">
        <f t="shared" si="5"/>
        <v>15341.016428804438</v>
      </c>
      <c r="I19">
        <f t="shared" si="15"/>
        <v>5418159.0999137964</v>
      </c>
      <c r="J19">
        <f t="shared" si="6"/>
        <v>16923.830086203292</v>
      </c>
      <c r="K19" s="4">
        <f t="shared" si="7"/>
        <v>5434566.2810512669</v>
      </c>
      <c r="L19">
        <f t="shared" si="8"/>
        <v>16104.46473556509</v>
      </c>
      <c r="M19">
        <f t="shared" si="9"/>
        <v>5424749.9510253267</v>
      </c>
      <c r="N19" s="5">
        <f t="shared" si="10"/>
        <v>10332.978974672966</v>
      </c>
      <c r="O19" s="4">
        <f t="shared" si="11"/>
        <v>5430470.2770254817</v>
      </c>
      <c r="P19">
        <f t="shared" si="12"/>
        <v>16199.260048899221</v>
      </c>
      <c r="Q19">
        <f t="shared" si="13"/>
        <v>5423551.2975637037</v>
      </c>
      <c r="R19">
        <f t="shared" si="14"/>
        <v>11531.632436295971</v>
      </c>
    </row>
    <row r="20" spans="1:18" x14ac:dyDescent="0.3">
      <c r="A20" s="9">
        <v>18</v>
      </c>
      <c r="B20" s="5">
        <v>5534149.8300000001</v>
      </c>
      <c r="C20" s="4">
        <f t="shared" si="0"/>
        <v>5487447.7867329437</v>
      </c>
      <c r="D20">
        <f t="shared" si="1"/>
        <v>26479.521043345008</v>
      </c>
      <c r="E20">
        <f t="shared" si="2"/>
        <v>5467432.6253327765</v>
      </c>
      <c r="F20" s="5">
        <f t="shared" si="3"/>
        <v>66717.204667223617</v>
      </c>
      <c r="G20" s="4">
        <f t="shared" si="4"/>
        <v>5488055.9306928515</v>
      </c>
      <c r="H20">
        <f t="shared" si="5"/>
        <v>38387.96608237896</v>
      </c>
      <c r="I20">
        <f t="shared" si="15"/>
        <v>5441962.0313857021</v>
      </c>
      <c r="J20">
        <f t="shared" si="6"/>
        <v>92187.798614297993</v>
      </c>
      <c r="K20" s="4">
        <f t="shared" si="7"/>
        <v>5529975.8757893415</v>
      </c>
      <c r="L20">
        <f t="shared" si="8"/>
        <v>20069.721235690566</v>
      </c>
      <c r="M20">
        <f t="shared" si="9"/>
        <v>5450670.7457868317</v>
      </c>
      <c r="N20" s="5">
        <f t="shared" si="10"/>
        <v>83479.08421316836</v>
      </c>
      <c r="O20" s="4">
        <f t="shared" si="11"/>
        <v>5499157.7128297519</v>
      </c>
      <c r="P20">
        <f t="shared" si="12"/>
        <v>18823.66883666777</v>
      </c>
      <c r="Q20">
        <f t="shared" si="13"/>
        <v>5446669.5370743806</v>
      </c>
      <c r="R20">
        <f t="shared" si="14"/>
        <v>87480.29292561952</v>
      </c>
    </row>
    <row r="21" spans="1:18" x14ac:dyDescent="0.3">
      <c r="A21" s="9">
        <v>19</v>
      </c>
      <c r="B21" s="5">
        <v>5507791.75</v>
      </c>
      <c r="C21" s="4">
        <f t="shared" si="0"/>
        <v>5512086.6404434014</v>
      </c>
      <c r="D21">
        <f t="shared" si="1"/>
        <v>26295.454310056277</v>
      </c>
      <c r="E21">
        <f t="shared" si="2"/>
        <v>5513927.3077762891</v>
      </c>
      <c r="F21" s="5">
        <f t="shared" si="3"/>
        <v>-6135.5577762890607</v>
      </c>
      <c r="G21" s="4">
        <f t="shared" si="4"/>
        <v>5517117.8233876154</v>
      </c>
      <c r="H21">
        <f t="shared" si="5"/>
        <v>33724.9293885714</v>
      </c>
      <c r="I21">
        <f t="shared" si="15"/>
        <v>5526443.8967752308</v>
      </c>
      <c r="J21">
        <f t="shared" si="6"/>
        <v>-18652.146775230765</v>
      </c>
      <c r="K21" s="4">
        <f t="shared" si="7"/>
        <v>5509904.4423512518</v>
      </c>
      <c r="L21">
        <f t="shared" si="8"/>
        <v>18062.663502001553</v>
      </c>
      <c r="M21">
        <f t="shared" si="9"/>
        <v>5550045.5970250322</v>
      </c>
      <c r="N21" s="5">
        <f t="shared" si="10"/>
        <v>-42253.847025032155</v>
      </c>
      <c r="O21" s="4">
        <f t="shared" si="11"/>
        <v>5511867.602666568</v>
      </c>
      <c r="P21">
        <f t="shared" si="12"/>
        <v>18517.979886675188</v>
      </c>
      <c r="Q21">
        <f t="shared" si="13"/>
        <v>5517981.38166642</v>
      </c>
      <c r="R21">
        <f t="shared" si="14"/>
        <v>-10189.631666420028</v>
      </c>
    </row>
    <row r="22" spans="1:18" x14ac:dyDescent="0.3">
      <c r="A22" s="9">
        <v>20</v>
      </c>
      <c r="B22" s="5">
        <v>5529451.8099999996</v>
      </c>
      <c r="C22" s="4">
        <f t="shared" si="0"/>
        <v>5535703.00932742</v>
      </c>
      <c r="D22">
        <f t="shared" si="1"/>
        <v>26027.545767452513</v>
      </c>
      <c r="E22">
        <f t="shared" si="2"/>
        <v>5538382.0947534572</v>
      </c>
      <c r="F22" s="5">
        <f t="shared" si="3"/>
        <v>-8930.2847534576431</v>
      </c>
      <c r="G22" s="4">
        <f t="shared" si="4"/>
        <v>5540147.2813880928</v>
      </c>
      <c r="H22">
        <f t="shared" si="5"/>
        <v>28377.193694524402</v>
      </c>
      <c r="I22">
        <f t="shared" si="15"/>
        <v>5550842.7527761869</v>
      </c>
      <c r="J22">
        <f t="shared" si="6"/>
        <v>-21390.942776187323</v>
      </c>
      <c r="K22" s="4">
        <f t="shared" si="7"/>
        <v>5529377.5747926626</v>
      </c>
      <c r="L22">
        <f t="shared" si="8"/>
        <v>18133.186948972012</v>
      </c>
      <c r="M22">
        <f t="shared" si="9"/>
        <v>5527967.105853253</v>
      </c>
      <c r="N22" s="5">
        <f t="shared" si="10"/>
        <v>1484.704146746546</v>
      </c>
      <c r="O22" s="4">
        <f t="shared" si="11"/>
        <v>5529825.3190212976</v>
      </c>
      <c r="P22">
        <f t="shared" si="12"/>
        <v>18489.966710077908</v>
      </c>
      <c r="Q22">
        <f t="shared" si="13"/>
        <v>5530385.5825532433</v>
      </c>
      <c r="R22">
        <f t="shared" si="14"/>
        <v>-933.77255324367434</v>
      </c>
    </row>
    <row r="23" spans="1:18" x14ac:dyDescent="0.3">
      <c r="A23" s="9">
        <v>21</v>
      </c>
      <c r="B23" s="5">
        <v>5606779.8899999997</v>
      </c>
      <c r="C23" s="4">
        <f t="shared" si="0"/>
        <v>5575245.3555664103</v>
      </c>
      <c r="D23">
        <f t="shared" si="1"/>
        <v>27379.025814606295</v>
      </c>
      <c r="E23">
        <f t="shared" si="2"/>
        <v>5561730.5550948726</v>
      </c>
      <c r="F23" s="5">
        <f t="shared" si="3"/>
        <v>45049.334905127063</v>
      </c>
      <c r="G23" s="4">
        <f t="shared" si="4"/>
        <v>5587652.1825413089</v>
      </c>
      <c r="H23">
        <f t="shared" si="5"/>
        <v>37941.047423870274</v>
      </c>
      <c r="I23">
        <f t="shared" si="15"/>
        <v>5568524.4750826173</v>
      </c>
      <c r="J23">
        <f t="shared" si="6"/>
        <v>38255.414917382412</v>
      </c>
      <c r="K23" s="4">
        <f t="shared" si="7"/>
        <v>5603816.4335870817</v>
      </c>
      <c r="L23">
        <f t="shared" si="8"/>
        <v>20948.470541244365</v>
      </c>
      <c r="M23">
        <f t="shared" si="9"/>
        <v>5547510.7617416345</v>
      </c>
      <c r="N23" s="5">
        <f t="shared" si="10"/>
        <v>59269.128258365206</v>
      </c>
      <c r="O23" s="4">
        <f t="shared" si="11"/>
        <v>5583394.0482925503</v>
      </c>
      <c r="P23">
        <f t="shared" si="12"/>
        <v>20243.904838136645</v>
      </c>
      <c r="Q23">
        <f t="shared" si="13"/>
        <v>5548315.2857313752</v>
      </c>
      <c r="R23">
        <f t="shared" si="14"/>
        <v>58464.604268624447</v>
      </c>
    </row>
    <row r="24" spans="1:18" x14ac:dyDescent="0.3">
      <c r="A24" s="9">
        <v>22</v>
      </c>
      <c r="B24" s="5">
        <v>5667512.0999999996</v>
      </c>
      <c r="C24" s="4">
        <f t="shared" si="0"/>
        <v>5622090.6969667114</v>
      </c>
      <c r="D24">
        <f t="shared" si="1"/>
        <v>29325.657373175774</v>
      </c>
      <c r="E24">
        <f t="shared" si="2"/>
        <v>5602624.3813810162</v>
      </c>
      <c r="F24" s="5">
        <f t="shared" si="3"/>
        <v>64887.718618983403</v>
      </c>
      <c r="G24" s="4">
        <f t="shared" si="4"/>
        <v>5646552.664982589</v>
      </c>
      <c r="H24">
        <f t="shared" si="5"/>
        <v>48420.764932575155</v>
      </c>
      <c r="I24">
        <f t="shared" si="15"/>
        <v>5625593.2299651792</v>
      </c>
      <c r="J24">
        <f t="shared" si="6"/>
        <v>41918.8700348204</v>
      </c>
      <c r="K24" s="4">
        <f t="shared" si="7"/>
        <v>5665374.7402064158</v>
      </c>
      <c r="L24">
        <f t="shared" si="8"/>
        <v>22978.962345148848</v>
      </c>
      <c r="M24">
        <f t="shared" si="9"/>
        <v>5624764.9041283261</v>
      </c>
      <c r="N24" s="5">
        <f t="shared" si="10"/>
        <v>42747.195871673524</v>
      </c>
      <c r="O24" s="4">
        <f t="shared" si="11"/>
        <v>5641962.4412522744</v>
      </c>
      <c r="P24">
        <f t="shared" si="12"/>
        <v>22160.129244216019</v>
      </c>
      <c r="Q24">
        <f t="shared" si="13"/>
        <v>5603637.9531306867</v>
      </c>
      <c r="R24">
        <f t="shared" si="14"/>
        <v>63874.146869312972</v>
      </c>
    </row>
    <row r="25" spans="1:18" x14ac:dyDescent="0.3">
      <c r="A25" s="9">
        <v>23</v>
      </c>
      <c r="B25" s="5">
        <v>5670975.2400000002</v>
      </c>
      <c r="C25" s="4">
        <f t="shared" si="0"/>
        <v>5657284.0200379211</v>
      </c>
      <c r="D25">
        <f t="shared" si="1"/>
        <v>29912.423942979167</v>
      </c>
      <c r="E25">
        <f t="shared" si="2"/>
        <v>5651416.3543398874</v>
      </c>
      <c r="F25" s="5">
        <f t="shared" si="3"/>
        <v>19558.885660112835</v>
      </c>
      <c r="G25" s="4">
        <f t="shared" si="4"/>
        <v>5682974.3349575819</v>
      </c>
      <c r="H25">
        <f t="shared" si="5"/>
        <v>42421.217453784069</v>
      </c>
      <c r="I25">
        <f t="shared" si="15"/>
        <v>5694973.4299151637</v>
      </c>
      <c r="J25">
        <f t="shared" si="6"/>
        <v>-23998.189915163442</v>
      </c>
      <c r="K25" s="4">
        <f t="shared" si="7"/>
        <v>5671844.1631275788</v>
      </c>
      <c r="L25">
        <f t="shared" si="8"/>
        <v>22153.485373949556</v>
      </c>
      <c r="M25">
        <f t="shared" si="9"/>
        <v>5688353.7025515642</v>
      </c>
      <c r="N25" s="5">
        <f t="shared" si="10"/>
        <v>-17378.462551563978</v>
      </c>
      <c r="O25" s="4">
        <f t="shared" si="11"/>
        <v>5668234.1721985955</v>
      </c>
      <c r="P25">
        <f t="shared" si="12"/>
        <v>22365.709329321271</v>
      </c>
      <c r="Q25">
        <f t="shared" si="13"/>
        <v>5664122.5704964902</v>
      </c>
      <c r="R25">
        <f t="shared" si="14"/>
        <v>6852.6695035099983</v>
      </c>
    </row>
    <row r="26" spans="1:18" x14ac:dyDescent="0.3">
      <c r="A26" s="9">
        <v>24</v>
      </c>
      <c r="B26" s="5">
        <v>5760046.2000000002</v>
      </c>
      <c r="C26" s="4">
        <f t="shared" si="0"/>
        <v>5709051.3707866305</v>
      </c>
      <c r="D26">
        <f t="shared" si="1"/>
        <v>32097.916623552192</v>
      </c>
      <c r="E26">
        <f t="shared" si="2"/>
        <v>5687196.4439809006</v>
      </c>
      <c r="F26" s="5">
        <f t="shared" si="3"/>
        <v>72849.756019099616</v>
      </c>
      <c r="G26" s="4">
        <f t="shared" si="4"/>
        <v>5742720.8762056828</v>
      </c>
      <c r="H26">
        <f t="shared" si="5"/>
        <v>51083.879350942443</v>
      </c>
      <c r="I26">
        <f t="shared" si="15"/>
        <v>5725395.5524113663</v>
      </c>
      <c r="J26">
        <f t="shared" si="6"/>
        <v>34650.647588633932</v>
      </c>
      <c r="K26" s="4">
        <f t="shared" si="7"/>
        <v>5756743.772425076</v>
      </c>
      <c r="L26">
        <f t="shared" si="8"/>
        <v>25290.791570126938</v>
      </c>
      <c r="M26">
        <f t="shared" si="9"/>
        <v>5693997.6485015284</v>
      </c>
      <c r="N26" s="5">
        <f t="shared" si="10"/>
        <v>66048.551498471759</v>
      </c>
      <c r="O26" s="4">
        <f t="shared" si="11"/>
        <v>5732267.6726111667</v>
      </c>
      <c r="P26">
        <f t="shared" si="12"/>
        <v>24449.098883483766</v>
      </c>
      <c r="Q26">
        <f t="shared" si="13"/>
        <v>5690599.8815279165</v>
      </c>
      <c r="R26">
        <f t="shared" si="14"/>
        <v>69446.318472083658</v>
      </c>
    </row>
    <row r="27" spans="1:18" x14ac:dyDescent="0.3">
      <c r="A27" s="9">
        <v>25</v>
      </c>
      <c r="B27" s="5">
        <v>5644985</v>
      </c>
      <c r="C27" s="4">
        <f t="shared" si="0"/>
        <v>5712300.0011871271</v>
      </c>
      <c r="D27">
        <f t="shared" si="1"/>
        <v>29212.988001246627</v>
      </c>
      <c r="E27">
        <f t="shared" si="2"/>
        <v>5741149.2874101829</v>
      </c>
      <c r="F27" s="5">
        <f t="shared" si="3"/>
        <v>-96164.287410182878</v>
      </c>
      <c r="G27" s="4">
        <f t="shared" si="4"/>
        <v>5719394.8777783122</v>
      </c>
      <c r="H27">
        <f t="shared" si="5"/>
        <v>13878.94046178594</v>
      </c>
      <c r="I27">
        <f t="shared" si="15"/>
        <v>5793804.7555566253</v>
      </c>
      <c r="J27">
        <f t="shared" si="6"/>
        <v>-148819.75555662531</v>
      </c>
      <c r="K27" s="4">
        <f t="shared" si="7"/>
        <v>5651837.4781997604</v>
      </c>
      <c r="L27">
        <f t="shared" si="8"/>
        <v>18780.93728035481</v>
      </c>
      <c r="M27">
        <f t="shared" si="9"/>
        <v>5782034.563995203</v>
      </c>
      <c r="N27" s="5">
        <f t="shared" si="10"/>
        <v>-137049.563995203</v>
      </c>
      <c r="O27" s="4">
        <f t="shared" si="11"/>
        <v>5689677.7085978603</v>
      </c>
      <c r="P27">
        <f t="shared" si="12"/>
        <v>21097.145738644253</v>
      </c>
      <c r="Q27">
        <f t="shared" si="13"/>
        <v>5756716.7714946503</v>
      </c>
      <c r="R27">
        <f t="shared" si="14"/>
        <v>-111731.77149465028</v>
      </c>
    </row>
    <row r="28" spans="1:18" x14ac:dyDescent="0.3">
      <c r="A28" s="9">
        <v>26</v>
      </c>
      <c r="B28" s="5">
        <v>5670778</v>
      </c>
      <c r="C28" s="4">
        <f t="shared" si="0"/>
        <v>5720292.4924318613</v>
      </c>
      <c r="D28">
        <f t="shared" si="1"/>
        <v>27090.938325595391</v>
      </c>
      <c r="E28">
        <f t="shared" si="2"/>
        <v>5741512.989188374</v>
      </c>
      <c r="F28" s="5">
        <f t="shared" si="3"/>
        <v>-70734.98918837402</v>
      </c>
      <c r="G28" s="4">
        <f t="shared" si="4"/>
        <v>5702025.9091200493</v>
      </c>
      <c r="H28">
        <f t="shared" si="5"/>
        <v>-1745.0140982384619</v>
      </c>
      <c r="I28">
        <f t="shared" si="15"/>
        <v>5733273.8182400977</v>
      </c>
      <c r="J28">
        <f t="shared" si="6"/>
        <v>-62495.818240097724</v>
      </c>
      <c r="K28" s="4">
        <f t="shared" si="7"/>
        <v>5670770.0207740059</v>
      </c>
      <c r="L28">
        <f t="shared" si="8"/>
        <v>18788.517545049341</v>
      </c>
      <c r="M28">
        <f t="shared" si="9"/>
        <v>5670618.4154801155</v>
      </c>
      <c r="N28" s="5">
        <f t="shared" si="10"/>
        <v>159.58451988454908</v>
      </c>
      <c r="O28" s="4">
        <f t="shared" si="11"/>
        <v>5686776.7417346016</v>
      </c>
      <c r="P28">
        <f t="shared" si="12"/>
        <v>19897.240108549104</v>
      </c>
      <c r="Q28">
        <f t="shared" si="13"/>
        <v>5710774.8543365048</v>
      </c>
      <c r="R28">
        <f t="shared" si="14"/>
        <v>-39996.854336504824</v>
      </c>
    </row>
    <row r="29" spans="1:18" x14ac:dyDescent="0.3">
      <c r="A29" s="9">
        <v>27</v>
      </c>
      <c r="B29" s="5">
        <v>5747247</v>
      </c>
      <c r="C29" s="4">
        <f t="shared" si="0"/>
        <v>5747342.5015302189</v>
      </c>
      <c r="D29">
        <f t="shared" si="1"/>
        <v>27086.845402871604</v>
      </c>
      <c r="E29">
        <f t="shared" si="2"/>
        <v>5747383.4307574565</v>
      </c>
      <c r="F29" s="5">
        <f t="shared" si="3"/>
        <v>-136.43075745645911</v>
      </c>
      <c r="G29" s="4">
        <f t="shared" si="4"/>
        <v>5723763.9475109056</v>
      </c>
      <c r="H29">
        <f t="shared" si="5"/>
        <v>9996.5121463088872</v>
      </c>
      <c r="I29">
        <f t="shared" si="15"/>
        <v>5700280.8950218111</v>
      </c>
      <c r="J29">
        <f t="shared" si="6"/>
        <v>46966.104978188872</v>
      </c>
      <c r="K29" s="4">
        <f t="shared" si="7"/>
        <v>5744362.5769159524</v>
      </c>
      <c r="L29">
        <f t="shared" si="8"/>
        <v>21528.719474894198</v>
      </c>
      <c r="M29">
        <f t="shared" si="9"/>
        <v>5689558.538319055</v>
      </c>
      <c r="N29" s="5">
        <f t="shared" si="10"/>
        <v>57688.461680945009</v>
      </c>
      <c r="O29" s="4">
        <f t="shared" si="11"/>
        <v>5731017.7927372605</v>
      </c>
      <c r="P29">
        <f t="shared" si="12"/>
        <v>21114.430653254596</v>
      </c>
      <c r="Q29">
        <f t="shared" si="13"/>
        <v>5706673.9818431502</v>
      </c>
      <c r="R29">
        <f t="shared" si="14"/>
        <v>40573.018156849779</v>
      </c>
    </row>
    <row r="30" spans="1:18" x14ac:dyDescent="0.3">
      <c r="A30" s="9">
        <v>28</v>
      </c>
      <c r="B30" s="5">
        <v>5746732</v>
      </c>
      <c r="C30" s="4">
        <f t="shared" si="0"/>
        <v>5766120.1428531623</v>
      </c>
      <c r="D30">
        <f t="shared" si="1"/>
        <v>26255.924994878784</v>
      </c>
      <c r="E30">
        <f t="shared" si="2"/>
        <v>5774429.3469330901</v>
      </c>
      <c r="F30" s="5">
        <f t="shared" si="3"/>
        <v>-27697.346933090128</v>
      </c>
      <c r="G30" s="4">
        <f t="shared" si="4"/>
        <v>5740246.2298286073</v>
      </c>
      <c r="H30">
        <f t="shared" si="5"/>
        <v>13239.397232005307</v>
      </c>
      <c r="I30">
        <f t="shared" si="15"/>
        <v>5733760.4596572146</v>
      </c>
      <c r="J30">
        <f t="shared" si="6"/>
        <v>12971.540342785418</v>
      </c>
      <c r="K30" s="4">
        <f t="shared" si="7"/>
        <v>5747689.9648195421</v>
      </c>
      <c r="L30">
        <f t="shared" si="8"/>
        <v>20618.652896328975</v>
      </c>
      <c r="M30">
        <f t="shared" si="9"/>
        <v>5765891.2963908464</v>
      </c>
      <c r="N30" s="5">
        <f t="shared" si="10"/>
        <v>-19159.296390846372</v>
      </c>
      <c r="O30" s="4">
        <f t="shared" si="11"/>
        <v>5748892.0893562064</v>
      </c>
      <c r="P30">
        <f t="shared" si="12"/>
        <v>20952.42395153916</v>
      </c>
      <c r="Q30">
        <f t="shared" si="13"/>
        <v>5752132.223390515</v>
      </c>
      <c r="R30">
        <f t="shared" si="14"/>
        <v>-5400.2233905149624</v>
      </c>
    </row>
    <row r="31" spans="1:18" x14ac:dyDescent="0.3">
      <c r="A31" s="9">
        <v>29</v>
      </c>
      <c r="B31" s="5">
        <v>5860509</v>
      </c>
      <c r="C31" s="4">
        <f t="shared" si="0"/>
        <v>5812815.9474936286</v>
      </c>
      <c r="D31">
        <f t="shared" si="1"/>
        <v>28299.912959437541</v>
      </c>
      <c r="E31">
        <f t="shared" si="2"/>
        <v>5792376.0678480407</v>
      </c>
      <c r="F31" s="5">
        <f t="shared" si="3"/>
        <v>68132.932151959278</v>
      </c>
      <c r="G31" s="4">
        <f t="shared" si="4"/>
        <v>5806997.3135303063</v>
      </c>
      <c r="H31">
        <f t="shared" si="5"/>
        <v>39995.240466852178</v>
      </c>
      <c r="I31">
        <f t="shared" si="15"/>
        <v>5753485.6270606127</v>
      </c>
      <c r="J31">
        <f t="shared" si="6"/>
        <v>107023.37293938734</v>
      </c>
      <c r="K31" s="4">
        <f t="shared" si="7"/>
        <v>5855898.9808857935</v>
      </c>
      <c r="L31">
        <f t="shared" si="8"/>
        <v>24998.171054825092</v>
      </c>
      <c r="M31">
        <f t="shared" si="9"/>
        <v>5768308.617715871</v>
      </c>
      <c r="N31" s="5">
        <f t="shared" si="10"/>
        <v>92200.382284129038</v>
      </c>
      <c r="O31" s="4">
        <f t="shared" si="11"/>
        <v>5824243.2053230982</v>
      </c>
      <c r="P31">
        <f t="shared" si="12"/>
        <v>23672.358552306796</v>
      </c>
      <c r="Q31">
        <f t="shared" si="13"/>
        <v>5769844.5133077456</v>
      </c>
      <c r="R31">
        <f t="shared" si="14"/>
        <v>90664.486692254432</v>
      </c>
    </row>
    <row r="32" spans="1:18" x14ac:dyDescent="0.3">
      <c r="A32" s="9">
        <v>30</v>
      </c>
      <c r="B32" s="5">
        <v>5908509</v>
      </c>
      <c r="C32" s="4">
        <f t="shared" si="0"/>
        <v>5861333.8023171462</v>
      </c>
      <c r="D32">
        <f t="shared" si="1"/>
        <v>30321.70714584555</v>
      </c>
      <c r="E32">
        <f t="shared" si="2"/>
        <v>5841115.8604530664</v>
      </c>
      <c r="F32" s="5">
        <f t="shared" si="3"/>
        <v>67393.139546933584</v>
      </c>
      <c r="G32" s="4">
        <f t="shared" si="4"/>
        <v>5877750.7769985795</v>
      </c>
      <c r="H32">
        <f t="shared" si="5"/>
        <v>55374.351967562674</v>
      </c>
      <c r="I32">
        <f t="shared" si="15"/>
        <v>5846992.5539971581</v>
      </c>
      <c r="J32">
        <f t="shared" si="6"/>
        <v>61516.446002841927</v>
      </c>
      <c r="K32" s="4">
        <f t="shared" si="7"/>
        <v>5907128.4075970314</v>
      </c>
      <c r="L32">
        <f t="shared" si="8"/>
        <v>26309.733837645734</v>
      </c>
      <c r="M32">
        <f t="shared" si="9"/>
        <v>5880897.1519406186</v>
      </c>
      <c r="N32" s="5">
        <f t="shared" si="10"/>
        <v>27611.848059381358</v>
      </c>
      <c r="O32" s="4">
        <f t="shared" si="11"/>
        <v>5884271.625550162</v>
      </c>
      <c r="P32">
        <f t="shared" si="12"/>
        <v>25490.161636044646</v>
      </c>
      <c r="Q32">
        <f t="shared" si="13"/>
        <v>5847915.5638754051</v>
      </c>
      <c r="R32">
        <f t="shared" si="14"/>
        <v>60593.436124594882</v>
      </c>
    </row>
    <row r="33" spans="1:18" x14ac:dyDescent="0.3">
      <c r="A33" s="9">
        <v>31</v>
      </c>
      <c r="B33" s="5">
        <v>5941133</v>
      </c>
      <c r="C33" s="4">
        <f t="shared" si="0"/>
        <v>5906498.7566240933</v>
      </c>
      <c r="D33">
        <f t="shared" si="1"/>
        <v>31806.031861955704</v>
      </c>
      <c r="E33">
        <f t="shared" si="2"/>
        <v>5891655.5094629917</v>
      </c>
      <c r="F33" s="5">
        <f t="shared" si="3"/>
        <v>49477.490537008271</v>
      </c>
      <c r="G33" s="4">
        <f t="shared" si="4"/>
        <v>5937129.0644830707</v>
      </c>
      <c r="H33">
        <f t="shared" si="5"/>
        <v>57376.319726026959</v>
      </c>
      <c r="I33">
        <f t="shared" si="15"/>
        <v>5933125.1289661424</v>
      </c>
      <c r="J33">
        <f t="shared" si="6"/>
        <v>8007.8710338575765</v>
      </c>
      <c r="K33" s="4">
        <f t="shared" si="7"/>
        <v>5940748.2570717335</v>
      </c>
      <c r="L33">
        <f t="shared" si="8"/>
        <v>26675.239619498549</v>
      </c>
      <c r="M33">
        <f t="shared" si="9"/>
        <v>5933438.1414346769</v>
      </c>
      <c r="N33" s="5">
        <f t="shared" si="10"/>
        <v>7694.8585653230548</v>
      </c>
      <c r="O33" s="4">
        <f t="shared" si="11"/>
        <v>5928584.5148744825</v>
      </c>
      <c r="P33">
        <f t="shared" si="12"/>
        <v>26431.298020458438</v>
      </c>
      <c r="Q33">
        <f t="shared" si="13"/>
        <v>5909761.7871862063</v>
      </c>
      <c r="R33">
        <f t="shared" si="14"/>
        <v>31371.212813793682</v>
      </c>
    </row>
    <row r="34" spans="1:18" x14ac:dyDescent="0.3">
      <c r="A34" s="9">
        <v>32</v>
      </c>
      <c r="B34" s="5">
        <v>5934562</v>
      </c>
      <c r="C34" s="4">
        <f t="shared" si="0"/>
        <v>5937181.9519402338</v>
      </c>
      <c r="D34">
        <f t="shared" si="1"/>
        <v>31693.748207374188</v>
      </c>
      <c r="E34">
        <f t="shared" si="2"/>
        <v>5938304.7884860486</v>
      </c>
      <c r="F34" s="5">
        <f t="shared" si="3"/>
        <v>-3742.7884860485792</v>
      </c>
      <c r="G34" s="4">
        <f t="shared" si="4"/>
        <v>5964533.6921045482</v>
      </c>
      <c r="H34">
        <f t="shared" si="5"/>
        <v>42390.473673752218</v>
      </c>
      <c r="I34">
        <f t="shared" si="15"/>
        <v>5994505.3842090974</v>
      </c>
      <c r="J34">
        <f t="shared" si="6"/>
        <v>-59943.384209097363</v>
      </c>
      <c r="K34" s="4">
        <f t="shared" si="7"/>
        <v>5936205.074834561</v>
      </c>
      <c r="L34">
        <f t="shared" si="8"/>
        <v>25114.318526664993</v>
      </c>
      <c r="M34">
        <f t="shared" si="9"/>
        <v>5967423.4966912316</v>
      </c>
      <c r="N34" s="5">
        <f t="shared" si="10"/>
        <v>-32861.496691231616</v>
      </c>
      <c r="O34" s="4">
        <f t="shared" si="11"/>
        <v>5942743.5251579769</v>
      </c>
      <c r="P34">
        <f t="shared" si="12"/>
        <v>25817.683633610231</v>
      </c>
      <c r="Q34">
        <f t="shared" si="13"/>
        <v>5955015.8128949413</v>
      </c>
      <c r="R34">
        <f t="shared" si="14"/>
        <v>-20453.812894941308</v>
      </c>
    </row>
    <row r="35" spans="1:18" x14ac:dyDescent="0.3">
      <c r="A35" s="9">
        <v>33</v>
      </c>
      <c r="B35" s="5">
        <v>6134178</v>
      </c>
      <c r="C35" s="4">
        <f t="shared" si="0"/>
        <v>6018466.3901033252</v>
      </c>
      <c r="D35">
        <f t="shared" si="1"/>
        <v>36652.817202945909</v>
      </c>
      <c r="E35">
        <f t="shared" si="2"/>
        <v>5968875.7001476083</v>
      </c>
      <c r="F35" s="5">
        <f t="shared" si="3"/>
        <v>165302.2998523917</v>
      </c>
      <c r="G35" s="4">
        <f t="shared" si="4"/>
        <v>6070551.0828891508</v>
      </c>
      <c r="H35">
        <f t="shared" si="5"/>
        <v>74203.932229177415</v>
      </c>
      <c r="I35">
        <f t="shared" si="15"/>
        <v>6006924.1657783007</v>
      </c>
      <c r="J35">
        <f t="shared" si="6"/>
        <v>127253.83422169928</v>
      </c>
      <c r="K35" s="4">
        <f t="shared" si="7"/>
        <v>6125535.0696680611</v>
      </c>
      <c r="L35">
        <f t="shared" si="8"/>
        <v>33325.10234200675</v>
      </c>
      <c r="M35">
        <f t="shared" si="9"/>
        <v>5961319.3933612257</v>
      </c>
      <c r="N35" s="5">
        <f t="shared" si="10"/>
        <v>172858.60663877428</v>
      </c>
      <c r="O35" s="4">
        <f t="shared" si="11"/>
        <v>6067931.2835166343</v>
      </c>
      <c r="P35">
        <f t="shared" si="12"/>
        <v>30786.187369862586</v>
      </c>
      <c r="Q35">
        <f t="shared" si="13"/>
        <v>5968561.2087915875</v>
      </c>
      <c r="R35">
        <f t="shared" si="14"/>
        <v>165616.7912084125</v>
      </c>
    </row>
    <row r="36" spans="1:18" x14ac:dyDescent="0.3">
      <c r="A36" s="9">
        <v>34</v>
      </c>
      <c r="B36" s="5">
        <v>6026908</v>
      </c>
      <c r="C36" s="4">
        <f t="shared" si="0"/>
        <v>6046655.8451143894</v>
      </c>
      <c r="D36">
        <f t="shared" si="1"/>
        <v>35806.480983757741</v>
      </c>
      <c r="E36">
        <f t="shared" si="2"/>
        <v>6055119.2073062714</v>
      </c>
      <c r="F36" s="5">
        <f t="shared" si="3"/>
        <v>-28211.207306271419</v>
      </c>
      <c r="G36" s="4">
        <f t="shared" si="4"/>
        <v>6085831.5075591635</v>
      </c>
      <c r="H36">
        <f t="shared" si="5"/>
        <v>44742.178449595041</v>
      </c>
      <c r="I36">
        <f t="shared" si="15"/>
        <v>6144755.0151183279</v>
      </c>
      <c r="J36">
        <f t="shared" si="6"/>
        <v>-117847.01511832792</v>
      </c>
      <c r="K36" s="4">
        <f t="shared" si="7"/>
        <v>6033505.6086005028</v>
      </c>
      <c r="L36">
        <f t="shared" si="8"/>
        <v>27057.374171528496</v>
      </c>
      <c r="M36">
        <f t="shared" si="9"/>
        <v>6158860.1720100679</v>
      </c>
      <c r="N36" s="5">
        <f t="shared" si="10"/>
        <v>-131952.17201006785</v>
      </c>
      <c r="O36" s="4">
        <f t="shared" si="11"/>
        <v>6055631.788354598</v>
      </c>
      <c r="P36">
        <f t="shared" si="12"/>
        <v>28631.903243267643</v>
      </c>
      <c r="Q36">
        <f t="shared" si="13"/>
        <v>6098717.4708864968</v>
      </c>
      <c r="R36">
        <f t="shared" si="14"/>
        <v>-71809.470886496827</v>
      </c>
    </row>
    <row r="37" spans="1:18" x14ac:dyDescent="0.3">
      <c r="A37" s="9">
        <v>35</v>
      </c>
      <c r="B37" s="5">
        <v>6074377</v>
      </c>
      <c r="C37" s="4">
        <f t="shared" si="0"/>
        <v>6080036.7282687025</v>
      </c>
      <c r="D37">
        <f t="shared" si="1"/>
        <v>35563.921200813274</v>
      </c>
      <c r="E37">
        <f t="shared" si="2"/>
        <v>6082462.3260981468</v>
      </c>
      <c r="F37" s="5">
        <f t="shared" si="3"/>
        <v>-8085.3260981468484</v>
      </c>
      <c r="G37" s="4">
        <f t="shared" si="4"/>
        <v>6102475.3430043794</v>
      </c>
      <c r="H37">
        <f t="shared" si="5"/>
        <v>30693.006947405484</v>
      </c>
      <c r="I37">
        <f t="shared" si="15"/>
        <v>6130573.6860087588</v>
      </c>
      <c r="J37">
        <f t="shared" si="6"/>
        <v>-56196.686008758843</v>
      </c>
      <c r="K37" s="4">
        <f t="shared" si="7"/>
        <v>6073686.2991386009</v>
      </c>
      <c r="L37">
        <f t="shared" si="8"/>
        <v>27713.539989856978</v>
      </c>
      <c r="M37">
        <f t="shared" si="9"/>
        <v>6060562.9827720309</v>
      </c>
      <c r="N37" s="5">
        <f t="shared" si="10"/>
        <v>13814.017227969132</v>
      </c>
      <c r="O37" s="4">
        <f t="shared" si="11"/>
        <v>6078331.6766391462</v>
      </c>
      <c r="P37">
        <f t="shared" si="12"/>
        <v>28335.302495331671</v>
      </c>
      <c r="Q37">
        <f t="shared" si="13"/>
        <v>6084263.6915978659</v>
      </c>
      <c r="R37">
        <f t="shared" si="14"/>
        <v>-9886.6915978658944</v>
      </c>
    </row>
    <row r="38" spans="1:18" x14ac:dyDescent="0.3">
      <c r="A38" s="9">
        <v>36</v>
      </c>
      <c r="B38" s="5">
        <v>6136552</v>
      </c>
      <c r="C38" s="4">
        <f t="shared" si="0"/>
        <v>6121886.0546286609</v>
      </c>
      <c r="D38">
        <f t="shared" si="1"/>
        <v>36192.461716727783</v>
      </c>
      <c r="E38">
        <f t="shared" si="2"/>
        <v>6115600.6494695162</v>
      </c>
      <c r="F38" s="5">
        <f t="shared" si="3"/>
        <v>20951.35053048376</v>
      </c>
      <c r="G38" s="4">
        <f t="shared" si="4"/>
        <v>6134860.1749758925</v>
      </c>
      <c r="H38">
        <f t="shared" si="5"/>
        <v>31538.919459459295</v>
      </c>
      <c r="I38">
        <f t="shared" si="15"/>
        <v>6133168.3499517851</v>
      </c>
      <c r="J38">
        <f t="shared" si="6"/>
        <v>3383.6500482149422</v>
      </c>
      <c r="K38" s="4">
        <f t="shared" si="7"/>
        <v>6134794.3919564225</v>
      </c>
      <c r="L38">
        <f t="shared" si="8"/>
        <v>29383.267631255203</v>
      </c>
      <c r="M38">
        <f t="shared" si="9"/>
        <v>6101399.8391284579</v>
      </c>
      <c r="N38" s="5">
        <f t="shared" si="10"/>
        <v>35152.160871542059</v>
      </c>
      <c r="O38" s="4">
        <f t="shared" si="11"/>
        <v>6124597.9916537907</v>
      </c>
      <c r="P38">
        <f t="shared" si="12"/>
        <v>29231.85312129731</v>
      </c>
      <c r="Q38">
        <f t="shared" si="13"/>
        <v>6106666.9791344777</v>
      </c>
      <c r="R38">
        <f t="shared" si="14"/>
        <v>29885.020865522325</v>
      </c>
    </row>
    <row r="39" spans="1:18" x14ac:dyDescent="0.3">
      <c r="A39" s="9">
        <v>37</v>
      </c>
      <c r="B39" s="5">
        <v>6046651</v>
      </c>
      <c r="C39" s="4">
        <f t="shared" si="0"/>
        <v>6124650.2614417709</v>
      </c>
      <c r="D39">
        <f t="shared" si="1"/>
        <v>32849.636226366012</v>
      </c>
      <c r="E39">
        <f t="shared" si="2"/>
        <v>6158078.5163453883</v>
      </c>
      <c r="F39" s="5">
        <f t="shared" si="3"/>
        <v>-111427.51634538826</v>
      </c>
      <c r="G39" s="4">
        <f t="shared" si="4"/>
        <v>6106525.0472176764</v>
      </c>
      <c r="H39">
        <f t="shared" si="5"/>
        <v>1601.8958506215913</v>
      </c>
      <c r="I39">
        <f t="shared" si="15"/>
        <v>6166399.0944353519</v>
      </c>
      <c r="J39">
        <f t="shared" si="6"/>
        <v>-119748.0944353519</v>
      </c>
      <c r="K39" s="4">
        <f t="shared" si="7"/>
        <v>6052527.3329793848</v>
      </c>
      <c r="L39">
        <f t="shared" si="8"/>
        <v>23800.751300840559</v>
      </c>
      <c r="M39">
        <f t="shared" si="9"/>
        <v>6164177.6595876776</v>
      </c>
      <c r="N39" s="5">
        <f t="shared" si="10"/>
        <v>-117526.65958767757</v>
      </c>
      <c r="O39" s="4">
        <f t="shared" si="11"/>
        <v>6089522.5379100349</v>
      </c>
      <c r="P39">
        <f t="shared" si="12"/>
        <v>26016.487778044655</v>
      </c>
      <c r="Q39">
        <f t="shared" si="13"/>
        <v>6153829.8447750881</v>
      </c>
      <c r="R39">
        <f t="shared" si="14"/>
        <v>-107178.84477508813</v>
      </c>
    </row>
    <row r="40" spans="1:18" x14ac:dyDescent="0.3">
      <c r="A40" s="9">
        <v>38</v>
      </c>
      <c r="B40" s="5">
        <v>6116495</v>
      </c>
      <c r="C40" s="4">
        <f t="shared" si="0"/>
        <v>6145198.4283676958</v>
      </c>
      <c r="D40">
        <f t="shared" si="1"/>
        <v>31619.489296321892</v>
      </c>
      <c r="E40">
        <f t="shared" si="2"/>
        <v>6157499.8976681372</v>
      </c>
      <c r="F40" s="5">
        <f t="shared" si="3"/>
        <v>-41004.897668137215</v>
      </c>
      <c r="G40" s="4">
        <f t="shared" si="4"/>
        <v>6112310.9715341488</v>
      </c>
      <c r="H40">
        <f t="shared" si="5"/>
        <v>3693.9100835469826</v>
      </c>
      <c r="I40">
        <f t="shared" si="15"/>
        <v>6108126.9430682976</v>
      </c>
      <c r="J40">
        <f t="shared" si="6"/>
        <v>8368.0569317024201</v>
      </c>
      <c r="K40" s="4">
        <f t="shared" si="7"/>
        <v>6114486.6542140115</v>
      </c>
      <c r="L40">
        <f t="shared" si="8"/>
        <v>25708.679797529865</v>
      </c>
      <c r="M40">
        <f t="shared" si="9"/>
        <v>6076328.0842802254</v>
      </c>
      <c r="N40" s="5">
        <f t="shared" si="10"/>
        <v>40166.915719774552</v>
      </c>
      <c r="O40" s="4">
        <f t="shared" si="11"/>
        <v>6116112.6102752313</v>
      </c>
      <c r="P40">
        <f t="shared" si="12"/>
        <v>26045.16700740224</v>
      </c>
      <c r="Q40">
        <f t="shared" si="13"/>
        <v>6115539.0256880792</v>
      </c>
      <c r="R40">
        <f t="shared" si="14"/>
        <v>955.97431192081422</v>
      </c>
    </row>
    <row r="41" spans="1:18" x14ac:dyDescent="0.3">
      <c r="A41" s="9">
        <v>39</v>
      </c>
      <c r="B41" s="5">
        <v>6440457.3899999997</v>
      </c>
      <c r="C41" s="4">
        <f t="shared" si="0"/>
        <v>6255909.7593648117</v>
      </c>
      <c r="D41">
        <f t="shared" si="1"/>
        <v>39528.673466401298</v>
      </c>
      <c r="E41">
        <f t="shared" si="2"/>
        <v>6176817.9176640175</v>
      </c>
      <c r="F41" s="5">
        <f t="shared" si="3"/>
        <v>263639.47233598214</v>
      </c>
      <c r="G41" s="4">
        <f t="shared" si="4"/>
        <v>6278231.1358088478</v>
      </c>
      <c r="H41">
        <f t="shared" si="5"/>
        <v>84807.037179123014</v>
      </c>
      <c r="I41">
        <f t="shared" si="15"/>
        <v>6116004.881617696</v>
      </c>
      <c r="J41">
        <f t="shared" si="6"/>
        <v>324452.50838230364</v>
      </c>
      <c r="K41" s="4">
        <f t="shared" si="7"/>
        <v>6425444.2872005766</v>
      </c>
      <c r="L41">
        <f t="shared" si="8"/>
        <v>39971.127456981631</v>
      </c>
      <c r="M41">
        <f t="shared" si="9"/>
        <v>6140195.3340115417</v>
      </c>
      <c r="N41" s="5">
        <f t="shared" si="10"/>
        <v>300262.05598845799</v>
      </c>
      <c r="O41" s="4">
        <f t="shared" si="11"/>
        <v>6321137.5449130535</v>
      </c>
      <c r="P41">
        <f t="shared" si="12"/>
        <v>34994.155388923238</v>
      </c>
      <c r="Q41">
        <f t="shared" si="13"/>
        <v>6142157.7772826338</v>
      </c>
      <c r="R41">
        <f t="shared" si="14"/>
        <v>298299.61271736585</v>
      </c>
    </row>
    <row r="42" spans="1:18" x14ac:dyDescent="0.3">
      <c r="A42" s="9">
        <v>40</v>
      </c>
      <c r="B42" s="5">
        <v>6238267</v>
      </c>
      <c r="C42" s="4">
        <f t="shared" si="0"/>
        <v>6278287.0029818481</v>
      </c>
      <c r="D42">
        <f t="shared" si="1"/>
        <v>37813.530481464804</v>
      </c>
      <c r="E42">
        <f t="shared" si="2"/>
        <v>6295438.4328312129</v>
      </c>
      <c r="F42" s="5">
        <f t="shared" si="3"/>
        <v>-57171.432831212878</v>
      </c>
      <c r="G42" s="4">
        <f t="shared" si="4"/>
        <v>6300652.5864939857</v>
      </c>
      <c r="H42">
        <f t="shared" si="5"/>
        <v>53614.243932130448</v>
      </c>
      <c r="I42">
        <f t="shared" si="15"/>
        <v>6363038.1729879705</v>
      </c>
      <c r="J42">
        <f t="shared" si="6"/>
        <v>-124771.17298797052</v>
      </c>
      <c r="K42" s="4">
        <f t="shared" si="7"/>
        <v>6249624.4207328772</v>
      </c>
      <c r="L42">
        <f t="shared" si="8"/>
        <v>29181.577760747576</v>
      </c>
      <c r="M42">
        <f t="shared" si="9"/>
        <v>6465415.4146575583</v>
      </c>
      <c r="N42" s="5">
        <f t="shared" si="10"/>
        <v>-227148.41465755831</v>
      </c>
      <c r="O42" s="4">
        <f t="shared" si="11"/>
        <v>6285412.8801207906</v>
      </c>
      <c r="P42">
        <f t="shared" si="12"/>
        <v>31458.21437986393</v>
      </c>
      <c r="Q42">
        <f t="shared" si="13"/>
        <v>6356131.7003019769</v>
      </c>
      <c r="R42">
        <f t="shared" si="14"/>
        <v>-117864.70030197687</v>
      </c>
    </row>
    <row r="43" spans="1:18" x14ac:dyDescent="0.3">
      <c r="A43" s="9">
        <v>41</v>
      </c>
      <c r="B43" s="5">
        <v>6468193.5</v>
      </c>
      <c r="C43" s="4">
        <f t="shared" si="0"/>
        <v>6361728.4234243184</v>
      </c>
      <c r="D43">
        <f t="shared" si="1"/>
        <v>42376.319477565361</v>
      </c>
      <c r="E43">
        <f t="shared" si="2"/>
        <v>6316100.5334633132</v>
      </c>
      <c r="F43" s="5">
        <f t="shared" si="3"/>
        <v>152092.96653668676</v>
      </c>
      <c r="G43" s="4">
        <f t="shared" si="4"/>
        <v>6411230.1652130578</v>
      </c>
      <c r="H43">
        <f t="shared" si="5"/>
        <v>82095.91132560125</v>
      </c>
      <c r="I43">
        <f t="shared" si="15"/>
        <v>6354266.8304261165</v>
      </c>
      <c r="J43">
        <f t="shared" si="6"/>
        <v>113926.66957388353</v>
      </c>
      <c r="K43" s="4">
        <f t="shared" si="7"/>
        <v>6458724.1249246811</v>
      </c>
      <c r="L43">
        <f t="shared" si="8"/>
        <v>38177.484082300391</v>
      </c>
      <c r="M43">
        <f t="shared" si="9"/>
        <v>6278805.9984936249</v>
      </c>
      <c r="N43" s="5">
        <f t="shared" si="10"/>
        <v>189387.50150637515</v>
      </c>
      <c r="O43" s="4">
        <f t="shared" si="11"/>
        <v>6407664.5378002618</v>
      </c>
      <c r="P43">
        <f t="shared" si="12"/>
        <v>35997.886544844296</v>
      </c>
      <c r="Q43">
        <f t="shared" si="13"/>
        <v>6316871.0945006544</v>
      </c>
      <c r="R43">
        <f t="shared" si="14"/>
        <v>151322.40549934562</v>
      </c>
    </row>
    <row r="44" spans="1:18" x14ac:dyDescent="0.3">
      <c r="A44" s="9">
        <v>42</v>
      </c>
      <c r="B44" s="5">
        <v>6393743.7999999998</v>
      </c>
      <c r="C44" s="4">
        <f t="shared" si="0"/>
        <v>6400996.4600313185</v>
      </c>
      <c r="D44">
        <f t="shared" si="1"/>
        <v>42065.49119050883</v>
      </c>
      <c r="E44">
        <f t="shared" si="2"/>
        <v>6404104.742901884</v>
      </c>
      <c r="F44" s="5">
        <f t="shared" si="3"/>
        <v>-10360.942901884206</v>
      </c>
      <c r="G44" s="4">
        <f t="shared" si="4"/>
        <v>6443534.9382693293</v>
      </c>
      <c r="H44">
        <f t="shared" si="5"/>
        <v>57200.342190936368</v>
      </c>
      <c r="I44">
        <f t="shared" si="15"/>
        <v>6493326.0765386587</v>
      </c>
      <c r="J44">
        <f t="shared" si="6"/>
        <v>-99582.276538658887</v>
      </c>
      <c r="K44" s="4">
        <f t="shared" si="7"/>
        <v>6398901.6904503489</v>
      </c>
      <c r="L44">
        <f t="shared" si="8"/>
        <v>33277.48815446876</v>
      </c>
      <c r="M44">
        <f t="shared" si="9"/>
        <v>6496901.6090069814</v>
      </c>
      <c r="N44" s="5">
        <f t="shared" si="10"/>
        <v>-103157.80900698155</v>
      </c>
      <c r="O44" s="4">
        <f t="shared" si="11"/>
        <v>6413711.2497380422</v>
      </c>
      <c r="P44">
        <f t="shared" si="12"/>
        <v>34500.327814491102</v>
      </c>
      <c r="Q44">
        <f t="shared" si="13"/>
        <v>6443662.4243451059</v>
      </c>
      <c r="R44">
        <f t="shared" si="14"/>
        <v>-49918.624345106073</v>
      </c>
    </row>
    <row r="45" spans="1:18" x14ac:dyDescent="0.3">
      <c r="A45" s="9">
        <v>43</v>
      </c>
      <c r="B45" s="5">
        <v>6567725.0199999996</v>
      </c>
      <c r="C45" s="4">
        <f t="shared" si="0"/>
        <v>6480460.8718552785</v>
      </c>
      <c r="D45">
        <f t="shared" si="1"/>
        <v>45805.38325385395</v>
      </c>
      <c r="E45">
        <f t="shared" si="2"/>
        <v>6443061.9512218274</v>
      </c>
      <c r="F45" s="5">
        <f t="shared" si="3"/>
        <v>124663.06877817214</v>
      </c>
      <c r="G45" s="4">
        <f t="shared" si="4"/>
        <v>6534230.150230132</v>
      </c>
      <c r="H45">
        <f t="shared" si="5"/>
        <v>73947.777075869584</v>
      </c>
      <c r="I45">
        <f t="shared" si="15"/>
        <v>6500735.2804602655</v>
      </c>
      <c r="J45">
        <f t="shared" si="6"/>
        <v>66989.739539734088</v>
      </c>
      <c r="K45" s="4">
        <f t="shared" si="7"/>
        <v>6560947.7279302403</v>
      </c>
      <c r="L45">
        <f t="shared" si="8"/>
        <v>39715.915620739892</v>
      </c>
      <c r="M45">
        <f t="shared" si="9"/>
        <v>6432179.1786048179</v>
      </c>
      <c r="N45" s="5">
        <f t="shared" si="10"/>
        <v>135545.8413951816</v>
      </c>
      <c r="O45" s="4">
        <f t="shared" si="11"/>
        <v>6519919.6430210136</v>
      </c>
      <c r="P45">
        <f t="shared" si="12"/>
        <v>38085.731087915112</v>
      </c>
      <c r="Q45">
        <f t="shared" si="13"/>
        <v>6448211.5775525337</v>
      </c>
      <c r="R45">
        <f t="shared" si="14"/>
        <v>119513.44244746584</v>
      </c>
    </row>
    <row r="46" spans="1:18" x14ac:dyDescent="0.3">
      <c r="A46" s="9">
        <v>44</v>
      </c>
      <c r="B46" s="5">
        <v>6726135.25</v>
      </c>
      <c r="C46" s="4">
        <f t="shared" si="0"/>
        <v>6586226.9535763925</v>
      </c>
      <c r="D46">
        <f t="shared" si="1"/>
        <v>51801.453100579958</v>
      </c>
      <c r="E46">
        <f t="shared" si="2"/>
        <v>6526266.2551091323</v>
      </c>
      <c r="F46" s="5">
        <f t="shared" si="3"/>
        <v>199868.99489086773</v>
      </c>
      <c r="G46" s="4">
        <f t="shared" si="4"/>
        <v>6667156.588653001</v>
      </c>
      <c r="H46">
        <f t="shared" si="5"/>
        <v>103437.10774936927</v>
      </c>
      <c r="I46">
        <f t="shared" si="15"/>
        <v>6608177.927306002</v>
      </c>
      <c r="J46">
        <f t="shared" si="6"/>
        <v>117957.32269399799</v>
      </c>
      <c r="K46" s="4">
        <f t="shared" si="7"/>
        <v>6719861.669677549</v>
      </c>
      <c r="L46">
        <f t="shared" si="8"/>
        <v>45675.816927068328</v>
      </c>
      <c r="M46">
        <f t="shared" si="9"/>
        <v>6600663.6435509799</v>
      </c>
      <c r="N46" s="5">
        <f t="shared" si="10"/>
        <v>125471.6064490201</v>
      </c>
      <c r="O46" s="4">
        <f t="shared" si="11"/>
        <v>6658883.2996435715</v>
      </c>
      <c r="P46">
        <f t="shared" si="12"/>
        <v>43129.627364647247</v>
      </c>
      <c r="Q46">
        <f t="shared" si="13"/>
        <v>6558005.3741089283</v>
      </c>
      <c r="R46">
        <f t="shared" si="14"/>
        <v>168129.87589107174</v>
      </c>
    </row>
    <row r="47" spans="1:18" x14ac:dyDescent="0.3">
      <c r="A47" s="9">
        <v>45</v>
      </c>
      <c r="B47" s="5">
        <v>6748574.0300000003</v>
      </c>
      <c r="C47" s="4">
        <f t="shared" si="0"/>
        <v>6671192.0936738802</v>
      </c>
      <c r="D47">
        <f t="shared" si="1"/>
        <v>55117.821800270736</v>
      </c>
      <c r="E47">
        <f t="shared" si="2"/>
        <v>6638028.4066769723</v>
      </c>
      <c r="F47" s="5">
        <f t="shared" si="3"/>
        <v>110545.62332302798</v>
      </c>
      <c r="G47" s="4">
        <f t="shared" si="4"/>
        <v>6759583.8632011851</v>
      </c>
      <c r="H47">
        <f t="shared" si="5"/>
        <v>97932.191148776707</v>
      </c>
      <c r="I47">
        <f t="shared" si="15"/>
        <v>6770593.69640237</v>
      </c>
      <c r="J47">
        <f t="shared" si="6"/>
        <v>-22019.666402369738</v>
      </c>
      <c r="K47" s="4">
        <f t="shared" si="7"/>
        <v>6749422.2028302308</v>
      </c>
      <c r="L47">
        <f t="shared" si="8"/>
        <v>44870.052738348997</v>
      </c>
      <c r="M47">
        <f t="shared" si="9"/>
        <v>6765537.486604617</v>
      </c>
      <c r="N47" s="5">
        <f t="shared" si="10"/>
        <v>-16963.456604616717</v>
      </c>
      <c r="O47" s="4">
        <f t="shared" si="11"/>
        <v>6729949.5888032876</v>
      </c>
      <c r="P47">
        <f t="shared" si="12"/>
        <v>44526.460454400687</v>
      </c>
      <c r="Q47">
        <f t="shared" si="13"/>
        <v>6702012.9270082191</v>
      </c>
      <c r="R47">
        <f t="shared" si="14"/>
        <v>46561.102991781197</v>
      </c>
    </row>
    <row r="48" spans="1:18" x14ac:dyDescent="0.3">
      <c r="A48" s="9">
        <v>46</v>
      </c>
      <c r="B48" s="5">
        <v>6780844.54</v>
      </c>
      <c r="C48" s="4">
        <f t="shared" si="0"/>
        <v>6742670.302831905</v>
      </c>
      <c r="D48">
        <f t="shared" si="1"/>
        <v>56753.860536046137</v>
      </c>
      <c r="E48">
        <f t="shared" si="2"/>
        <v>6726309.9154741513</v>
      </c>
      <c r="F48" s="5">
        <f t="shared" si="3"/>
        <v>54534.624525848776</v>
      </c>
      <c r="G48" s="4">
        <f t="shared" si="4"/>
        <v>6819180.2971749809</v>
      </c>
      <c r="H48">
        <f t="shared" si="5"/>
        <v>78764.31256128622</v>
      </c>
      <c r="I48">
        <f t="shared" si="15"/>
        <v>6857516.0543499617</v>
      </c>
      <c r="J48">
        <f t="shared" si="6"/>
        <v>-76671.514349961653</v>
      </c>
      <c r="K48" s="4">
        <f t="shared" si="7"/>
        <v>6781516.925778429</v>
      </c>
      <c r="L48">
        <f t="shared" si="8"/>
        <v>44231.286248841454</v>
      </c>
      <c r="M48">
        <f t="shared" si="9"/>
        <v>6794292.2555685798</v>
      </c>
      <c r="N48" s="5">
        <f t="shared" si="10"/>
        <v>-13447.715568579733</v>
      </c>
      <c r="O48" s="4">
        <f t="shared" si="11"/>
        <v>6778297.1437030751</v>
      </c>
      <c r="P48">
        <f t="shared" si="12"/>
        <v>44717.515176670029</v>
      </c>
      <c r="Q48">
        <f t="shared" si="13"/>
        <v>6774476.0492576882</v>
      </c>
      <c r="R48">
        <f t="shared" si="14"/>
        <v>6368.4907423118129</v>
      </c>
    </row>
    <row r="49" spans="1:18" x14ac:dyDescent="0.3">
      <c r="A49" s="9">
        <v>47</v>
      </c>
      <c r="B49" s="5">
        <v>6817456.6799999997</v>
      </c>
      <c r="C49" s="4">
        <f t="shared" si="0"/>
        <v>6804833.9183575651</v>
      </c>
      <c r="D49">
        <f t="shared" si="1"/>
        <v>57294.836035007538</v>
      </c>
      <c r="E49">
        <f t="shared" si="2"/>
        <v>6799424.1633679513</v>
      </c>
      <c r="F49" s="5">
        <f t="shared" si="3"/>
        <v>18032.516632048413</v>
      </c>
      <c r="G49" s="4">
        <f t="shared" si="4"/>
        <v>6857700.6448681336</v>
      </c>
      <c r="H49">
        <f t="shared" si="5"/>
        <v>58642.330127219473</v>
      </c>
      <c r="I49">
        <f t="shared" si="15"/>
        <v>6897944.6097362675</v>
      </c>
      <c r="J49">
        <f t="shared" si="6"/>
        <v>-80487.929736267775</v>
      </c>
      <c r="K49" s="4">
        <f t="shared" si="7"/>
        <v>6817871.2566013625</v>
      </c>
      <c r="L49">
        <f t="shared" si="8"/>
        <v>43837.438477546049</v>
      </c>
      <c r="M49">
        <f t="shared" si="9"/>
        <v>6825748.2120272703</v>
      </c>
      <c r="N49" s="5">
        <f t="shared" si="10"/>
        <v>-8291.5320272706449</v>
      </c>
      <c r="O49" s="4">
        <f t="shared" si="11"/>
        <v>6819679.8715518974</v>
      </c>
      <c r="P49">
        <f t="shared" si="12"/>
        <v>44550.775810277635</v>
      </c>
      <c r="Q49">
        <f t="shared" si="13"/>
        <v>6823014.6588797448</v>
      </c>
      <c r="R49">
        <f t="shared" si="14"/>
        <v>-5557.9788797451183</v>
      </c>
    </row>
    <row r="50" spans="1:18" x14ac:dyDescent="0.3">
      <c r="A50" s="9">
        <v>48</v>
      </c>
      <c r="B50" s="5">
        <v>6900049.4900000002</v>
      </c>
      <c r="C50" s="4">
        <f t="shared" si="0"/>
        <v>6873504.9750748007</v>
      </c>
      <c r="D50">
        <f t="shared" si="1"/>
        <v>58432.458103230347</v>
      </c>
      <c r="E50">
        <f t="shared" si="2"/>
        <v>6862128.7543925727</v>
      </c>
      <c r="F50" s="5">
        <f t="shared" si="3"/>
        <v>37920.735607427545</v>
      </c>
      <c r="G50" s="4">
        <f t="shared" si="4"/>
        <v>6908196.2324976772</v>
      </c>
      <c r="H50">
        <f t="shared" si="5"/>
        <v>54568.958878381542</v>
      </c>
      <c r="I50">
        <f t="shared" si="15"/>
        <v>6916342.9749953533</v>
      </c>
      <c r="J50">
        <f t="shared" si="6"/>
        <v>-16293.484995353036</v>
      </c>
      <c r="K50" s="4">
        <f t="shared" si="7"/>
        <v>6898132.4502539458</v>
      </c>
      <c r="L50">
        <f t="shared" si="8"/>
        <v>45658.626236297911</v>
      </c>
      <c r="M50">
        <f t="shared" si="9"/>
        <v>6861708.6950789085</v>
      </c>
      <c r="N50" s="5">
        <f t="shared" si="10"/>
        <v>38340.794921091758</v>
      </c>
      <c r="O50" s="4">
        <f t="shared" si="11"/>
        <v>6885721.952944871</v>
      </c>
      <c r="P50">
        <f t="shared" si="12"/>
        <v>45625.341089412432</v>
      </c>
      <c r="Q50">
        <f t="shared" si="13"/>
        <v>6864230.6473621754</v>
      </c>
      <c r="R50">
        <f t="shared" si="14"/>
        <v>35818.842637824826</v>
      </c>
    </row>
    <row r="51" spans="1:18" x14ac:dyDescent="0.3">
      <c r="A51" s="9">
        <v>49</v>
      </c>
      <c r="B51" s="5">
        <v>6767407.6500000004</v>
      </c>
      <c r="C51" s="4">
        <f t="shared" si="0"/>
        <v>6882578.4982246216</v>
      </c>
      <c r="D51">
        <f t="shared" si="1"/>
        <v>53496.564607889413</v>
      </c>
      <c r="E51">
        <f t="shared" si="2"/>
        <v>6931937.4331780309</v>
      </c>
      <c r="F51" s="5">
        <f t="shared" si="3"/>
        <v>-164529.78317803051</v>
      </c>
      <c r="G51" s="4">
        <f t="shared" si="4"/>
        <v>6865086.4206880294</v>
      </c>
      <c r="H51">
        <f t="shared" si="5"/>
        <v>5729.5735343668566</v>
      </c>
      <c r="I51">
        <f t="shared" si="15"/>
        <v>6962765.1913760584</v>
      </c>
      <c r="J51">
        <f t="shared" si="6"/>
        <v>-195357.54137605801</v>
      </c>
      <c r="K51" s="4">
        <f t="shared" si="7"/>
        <v>6776226.8213245124</v>
      </c>
      <c r="L51">
        <f t="shared" si="8"/>
        <v>37280.413478011338</v>
      </c>
      <c r="M51">
        <f t="shared" si="9"/>
        <v>6943791.0764902439</v>
      </c>
      <c r="N51" s="5">
        <f t="shared" si="10"/>
        <v>-176383.42649024352</v>
      </c>
      <c r="O51" s="4">
        <f t="shared" si="11"/>
        <v>6832983.5076137129</v>
      </c>
      <c r="P51">
        <f t="shared" si="12"/>
        <v>40707.151768383897</v>
      </c>
      <c r="Q51">
        <f t="shared" si="13"/>
        <v>6931347.2940342836</v>
      </c>
      <c r="R51">
        <f t="shared" si="14"/>
        <v>-163939.64403428324</v>
      </c>
    </row>
    <row r="52" spans="1:18" x14ac:dyDescent="0.3">
      <c r="A52" s="9">
        <v>50</v>
      </c>
      <c r="B52" s="5">
        <v>6817787.9100000001</v>
      </c>
      <c r="C52" s="4">
        <f t="shared" si="0"/>
        <v>6900588.9169827569</v>
      </c>
      <c r="D52">
        <f t="shared" si="1"/>
        <v>49947.950022914003</v>
      </c>
      <c r="E52">
        <f t="shared" si="2"/>
        <v>6936075.062832511</v>
      </c>
      <c r="F52" s="5">
        <f t="shared" si="3"/>
        <v>-118287.15283251088</v>
      </c>
      <c r="G52" s="4">
        <f t="shared" si="4"/>
        <v>6844301.9521111976</v>
      </c>
      <c r="H52">
        <f t="shared" si="5"/>
        <v>-7527.4475212324433</v>
      </c>
      <c r="I52">
        <f t="shared" si="15"/>
        <v>6870815.9942223961</v>
      </c>
      <c r="J52">
        <f t="shared" si="6"/>
        <v>-53028.084222395904</v>
      </c>
      <c r="K52" s="4">
        <f t="shared" si="7"/>
        <v>6817573.8762401259</v>
      </c>
      <c r="L52">
        <f t="shared" si="8"/>
        <v>37483.74554989145</v>
      </c>
      <c r="M52">
        <f t="shared" si="9"/>
        <v>6813507.2348025236</v>
      </c>
      <c r="N52" s="5">
        <f t="shared" si="10"/>
        <v>4280.6751974765211</v>
      </c>
      <c r="O52" s="4">
        <f t="shared" si="11"/>
        <v>6840149.0097528379</v>
      </c>
      <c r="P52">
        <f t="shared" si="12"/>
        <v>39030.069286920952</v>
      </c>
      <c r="Q52">
        <f t="shared" si="13"/>
        <v>6873690.6593820965</v>
      </c>
      <c r="R52">
        <f t="shared" si="14"/>
        <v>-55902.749382096343</v>
      </c>
    </row>
    <row r="53" spans="1:18" x14ac:dyDescent="0.3">
      <c r="A53" s="9">
        <v>51</v>
      </c>
      <c r="B53" s="5">
        <v>6895564.1200000001</v>
      </c>
      <c r="C53" s="4">
        <f t="shared" si="0"/>
        <v>6934045.0429039691</v>
      </c>
      <c r="D53">
        <f t="shared" si="1"/>
        <v>48298.767612743817</v>
      </c>
      <c r="E53">
        <f t="shared" si="2"/>
        <v>6950536.8670056714</v>
      </c>
      <c r="F53" s="5">
        <f t="shared" si="3"/>
        <v>-54972.747005671263</v>
      </c>
      <c r="G53" s="4">
        <f t="shared" si="4"/>
        <v>6866169.3122949824</v>
      </c>
      <c r="H53">
        <f t="shared" si="5"/>
        <v>7169.9563312761475</v>
      </c>
      <c r="I53">
        <f t="shared" si="15"/>
        <v>6836774.5045899656</v>
      </c>
      <c r="J53">
        <f t="shared" si="6"/>
        <v>58789.615410034545</v>
      </c>
      <c r="K53" s="4">
        <f t="shared" si="7"/>
        <v>6893538.795089501</v>
      </c>
      <c r="L53">
        <f t="shared" si="8"/>
        <v>39407.804214865631</v>
      </c>
      <c r="M53">
        <f t="shared" si="9"/>
        <v>6855057.621790017</v>
      </c>
      <c r="N53" s="5">
        <f t="shared" si="10"/>
        <v>40506.49820998311</v>
      </c>
      <c r="O53" s="4">
        <f t="shared" si="11"/>
        <v>6889010.1036159042</v>
      </c>
      <c r="P53">
        <f t="shared" si="12"/>
        <v>39521.620515728224</v>
      </c>
      <c r="Q53">
        <f t="shared" si="13"/>
        <v>6879179.079039759</v>
      </c>
      <c r="R53">
        <f t="shared" si="14"/>
        <v>16385.040960241109</v>
      </c>
    </row>
    <row r="54" spans="1:18" x14ac:dyDescent="0.3">
      <c r="A54" s="9">
        <v>52</v>
      </c>
      <c r="B54" s="5">
        <v>6964386.4900000002</v>
      </c>
      <c r="C54" s="4">
        <f t="shared" si="0"/>
        <v>6976956.6143616987</v>
      </c>
      <c r="D54">
        <f t="shared" si="1"/>
        <v>47760.0479972424</v>
      </c>
      <c r="E54">
        <f t="shared" si="2"/>
        <v>6982343.8105167132</v>
      </c>
      <c r="F54" s="5">
        <f t="shared" si="3"/>
        <v>-17957.320516712964</v>
      </c>
      <c r="G54" s="4">
        <f t="shared" si="4"/>
        <v>6918862.8793131299</v>
      </c>
      <c r="H54">
        <f t="shared" si="5"/>
        <v>29931.761674711852</v>
      </c>
      <c r="I54">
        <f t="shared" si="15"/>
        <v>6873339.2686262587</v>
      </c>
      <c r="J54">
        <f t="shared" si="6"/>
        <v>91047.221373741515</v>
      </c>
      <c r="K54" s="4">
        <f t="shared" si="7"/>
        <v>6962814.495465219</v>
      </c>
      <c r="L54">
        <f t="shared" si="8"/>
        <v>40901.199022908251</v>
      </c>
      <c r="M54">
        <f t="shared" si="9"/>
        <v>6932946.5993043669</v>
      </c>
      <c r="N54" s="5">
        <f t="shared" si="10"/>
        <v>31439.890695633367</v>
      </c>
      <c r="O54" s="4">
        <f t="shared" si="11"/>
        <v>6950044.5836526528</v>
      </c>
      <c r="P54">
        <f t="shared" si="12"/>
        <v>40597.263491779238</v>
      </c>
      <c r="Q54">
        <f t="shared" si="13"/>
        <v>6928531.7241316326</v>
      </c>
      <c r="R54">
        <f t="shared" si="14"/>
        <v>35854.765868367627</v>
      </c>
    </row>
    <row r="55" spans="1:18" x14ac:dyDescent="0.3">
      <c r="A55" s="9">
        <v>53</v>
      </c>
      <c r="B55" s="5">
        <v>7004093.0800000001</v>
      </c>
      <c r="C55" s="4">
        <f t="shared" si="0"/>
        <v>7018529.5876512583</v>
      </c>
      <c r="D55">
        <f t="shared" si="1"/>
        <v>47141.340526474123</v>
      </c>
      <c r="E55">
        <f t="shared" si="2"/>
        <v>7024716.6623589415</v>
      </c>
      <c r="F55" s="5">
        <f t="shared" si="3"/>
        <v>-20623.582358941436</v>
      </c>
      <c r="G55" s="4">
        <f t="shared" si="4"/>
        <v>6976443.8604939207</v>
      </c>
      <c r="H55">
        <f t="shared" si="5"/>
        <v>43756.371427751335</v>
      </c>
      <c r="I55">
        <f t="shared" si="15"/>
        <v>6948794.6409878414</v>
      </c>
      <c r="J55">
        <f t="shared" si="6"/>
        <v>55298.439012158662</v>
      </c>
      <c r="K55" s="4">
        <f t="shared" si="7"/>
        <v>7004074.2107244069</v>
      </c>
      <c r="L55">
        <f t="shared" si="8"/>
        <v>40919.124834722228</v>
      </c>
      <c r="M55">
        <f t="shared" si="9"/>
        <v>7003715.6944881277</v>
      </c>
      <c r="N55" s="5">
        <f t="shared" si="10"/>
        <v>377.38551187235862</v>
      </c>
      <c r="O55" s="4">
        <f t="shared" si="11"/>
        <v>6998712.5868577734</v>
      </c>
      <c r="P55">
        <f t="shared" si="12"/>
        <v>41000.800477446304</v>
      </c>
      <c r="Q55">
        <f t="shared" si="13"/>
        <v>6990641.8471444324</v>
      </c>
      <c r="R55">
        <f t="shared" si="14"/>
        <v>13451.232855567709</v>
      </c>
    </row>
    <row r="56" spans="1:18" x14ac:dyDescent="0.3">
      <c r="A56" s="9">
        <v>54</v>
      </c>
      <c r="B56" s="5">
        <v>7130061.4199999999</v>
      </c>
      <c r="C56" s="4">
        <f t="shared" si="0"/>
        <v>7084988.0757244118</v>
      </c>
      <c r="D56">
        <f t="shared" si="1"/>
        <v>49073.055281142057</v>
      </c>
      <c r="E56">
        <f t="shared" si="2"/>
        <v>7065670.928177732</v>
      </c>
      <c r="F56" s="5">
        <f t="shared" si="3"/>
        <v>64390.491822267883</v>
      </c>
      <c r="G56" s="4">
        <f t="shared" si="4"/>
        <v>7075130.8259608354</v>
      </c>
      <c r="H56">
        <f t="shared" si="5"/>
        <v>71221.66844733301</v>
      </c>
      <c r="I56">
        <f t="shared" si="15"/>
        <v>7020200.2319216719</v>
      </c>
      <c r="J56">
        <f t="shared" si="6"/>
        <v>109861.18807832804</v>
      </c>
      <c r="K56" s="4">
        <f t="shared" si="7"/>
        <v>7125808.0157779567</v>
      </c>
      <c r="L56">
        <f t="shared" si="8"/>
        <v>44959.858845663606</v>
      </c>
      <c r="M56">
        <f t="shared" si="9"/>
        <v>7044993.3355591288</v>
      </c>
      <c r="N56" s="5">
        <f t="shared" si="10"/>
        <v>85068.084440871142</v>
      </c>
      <c r="O56" s="4">
        <f t="shared" si="11"/>
        <v>7093922.2069340879</v>
      </c>
      <c r="P56">
        <f t="shared" si="12"/>
        <v>43711.241457389719</v>
      </c>
      <c r="Q56">
        <f t="shared" si="13"/>
        <v>7039713.3873352194</v>
      </c>
      <c r="R56">
        <f t="shared" si="14"/>
        <v>90348.032664780505</v>
      </c>
    </row>
    <row r="57" spans="1:18" x14ac:dyDescent="0.3">
      <c r="A57" s="9">
        <v>55</v>
      </c>
      <c r="B57" s="5">
        <v>7160560.3300000001</v>
      </c>
      <c r="C57" s="4">
        <f t="shared" si="0"/>
        <v>7142010.8907038867</v>
      </c>
      <c r="D57">
        <f t="shared" si="1"/>
        <v>49868.031250975349</v>
      </c>
      <c r="E57">
        <f t="shared" si="2"/>
        <v>7134061.1310055535</v>
      </c>
      <c r="F57" s="5">
        <f t="shared" si="3"/>
        <v>26499.198994446546</v>
      </c>
      <c r="G57" s="4">
        <f t="shared" si="4"/>
        <v>7153456.4122040849</v>
      </c>
      <c r="H57">
        <f t="shared" si="5"/>
        <v>74773.627345291243</v>
      </c>
      <c r="I57">
        <f t="shared" si="15"/>
        <v>7146352.4944081688</v>
      </c>
      <c r="J57">
        <f t="shared" si="6"/>
        <v>14207.835591831245</v>
      </c>
      <c r="K57" s="4">
        <f t="shared" si="7"/>
        <v>7161070.7072311817</v>
      </c>
      <c r="L57">
        <f t="shared" si="8"/>
        <v>44475.00047604167</v>
      </c>
      <c r="M57">
        <f t="shared" si="9"/>
        <v>7170767.87462362</v>
      </c>
      <c r="N57" s="5">
        <f t="shared" si="10"/>
        <v>-10207.544623619877</v>
      </c>
      <c r="O57" s="4">
        <f t="shared" si="11"/>
        <v>7151389.5773565909</v>
      </c>
      <c r="P57">
        <f t="shared" si="12"/>
        <v>44399.047905645384</v>
      </c>
      <c r="Q57">
        <f t="shared" si="13"/>
        <v>7137633.4483914776</v>
      </c>
      <c r="R57">
        <f t="shared" si="14"/>
        <v>22926.881608522497</v>
      </c>
    </row>
    <row r="58" spans="1:18" x14ac:dyDescent="0.3">
      <c r="A58" s="9">
        <v>56</v>
      </c>
      <c r="B58" s="5">
        <v>7211500.7199999997</v>
      </c>
      <c r="C58" s="4">
        <f t="shared" si="0"/>
        <v>7197765.4613684034</v>
      </c>
      <c r="D58">
        <f t="shared" si="1"/>
        <v>50456.685192329482</v>
      </c>
      <c r="E58">
        <f t="shared" si="2"/>
        <v>7191878.9219548618</v>
      </c>
      <c r="F58" s="5">
        <f t="shared" si="3"/>
        <v>19621.798045137897</v>
      </c>
      <c r="G58" s="4">
        <f t="shared" si="4"/>
        <v>7219865.3797746878</v>
      </c>
      <c r="H58">
        <f t="shared" si="5"/>
        <v>70591.297457947076</v>
      </c>
      <c r="I58">
        <f t="shared" si="15"/>
        <v>7228230.0395493759</v>
      </c>
      <c r="J58">
        <f t="shared" si="6"/>
        <v>-16729.319549376145</v>
      </c>
      <c r="K58" s="4">
        <f t="shared" si="7"/>
        <v>7211202.9693853613</v>
      </c>
      <c r="L58">
        <f t="shared" si="8"/>
        <v>44757.863559948564</v>
      </c>
      <c r="M58">
        <f t="shared" si="9"/>
        <v>7205545.7077072235</v>
      </c>
      <c r="N58" s="5">
        <f t="shared" si="10"/>
        <v>5955.0122927762568</v>
      </c>
      <c r="O58" s="4">
        <f t="shared" si="11"/>
        <v>7205215.8821048941</v>
      </c>
      <c r="P58">
        <f t="shared" si="12"/>
        <v>44870.410747778275</v>
      </c>
      <c r="Q58">
        <f t="shared" si="13"/>
        <v>7195788.6252622362</v>
      </c>
      <c r="R58">
        <f t="shared" si="14"/>
        <v>15712.094737763517</v>
      </c>
    </row>
    <row r="59" spans="1:18" x14ac:dyDescent="0.3">
      <c r="A59" s="9">
        <v>57</v>
      </c>
      <c r="B59" s="5">
        <v>7300920.6399999997</v>
      </c>
      <c r="C59" s="4">
        <f t="shared" si="0"/>
        <v>7264031.6945925131</v>
      </c>
      <c r="D59">
        <f t="shared" si="1"/>
        <v>52037.63999550751</v>
      </c>
      <c r="E59">
        <f t="shared" si="2"/>
        <v>7248222.1465607332</v>
      </c>
      <c r="F59" s="5">
        <f t="shared" si="3"/>
        <v>52698.493439266458</v>
      </c>
      <c r="G59" s="4">
        <f t="shared" si="4"/>
        <v>7295688.6586163174</v>
      </c>
      <c r="H59">
        <f t="shared" si="5"/>
        <v>73207.28814978835</v>
      </c>
      <c r="I59">
        <f t="shared" si="15"/>
        <v>7290456.6772326352</v>
      </c>
      <c r="J59">
        <f t="shared" si="6"/>
        <v>10463.962767364457</v>
      </c>
      <c r="K59" s="4">
        <f t="shared" si="7"/>
        <v>7298672.6496472647</v>
      </c>
      <c r="L59">
        <f t="shared" si="8"/>
        <v>46893.454395046305</v>
      </c>
      <c r="M59">
        <f t="shared" si="9"/>
        <v>7255960.8329453096</v>
      </c>
      <c r="N59" s="5">
        <f t="shared" si="10"/>
        <v>44959.807054690085</v>
      </c>
      <c r="O59" s="4">
        <f t="shared" si="11"/>
        <v>7280586.9011410689</v>
      </c>
      <c r="P59">
        <f t="shared" si="12"/>
        <v>46395.441162198091</v>
      </c>
      <c r="Q59">
        <f t="shared" si="13"/>
        <v>7250086.2928526727</v>
      </c>
      <c r="R59">
        <f t="shared" si="14"/>
        <v>50834.347147326916</v>
      </c>
    </row>
    <row r="60" spans="1:18" x14ac:dyDescent="0.3">
      <c r="A60" s="9">
        <v>58</v>
      </c>
      <c r="B60" s="5">
        <v>7491704.3799999999</v>
      </c>
      <c r="C60" s="4">
        <f t="shared" si="0"/>
        <v>7368759.8482116144</v>
      </c>
      <c r="D60">
        <f t="shared" si="1"/>
        <v>57306.69135786689</v>
      </c>
      <c r="E60">
        <f t="shared" si="2"/>
        <v>7316069.334588021</v>
      </c>
      <c r="F60" s="5">
        <f t="shared" si="3"/>
        <v>175635.04541197885</v>
      </c>
      <c r="G60" s="4">
        <f t="shared" si="4"/>
        <v>7430300.1633830527</v>
      </c>
      <c r="H60">
        <f t="shared" si="5"/>
        <v>103909.39645826179</v>
      </c>
      <c r="I60">
        <f t="shared" si="15"/>
        <v>7368895.9467661055</v>
      </c>
      <c r="J60">
        <f t="shared" si="6"/>
        <v>122808.43323389441</v>
      </c>
      <c r="K60" s="4">
        <f t="shared" si="7"/>
        <v>7484397.4662021156</v>
      </c>
      <c r="L60">
        <f t="shared" si="8"/>
        <v>53835.02250303654</v>
      </c>
      <c r="M60">
        <f t="shared" si="9"/>
        <v>7345566.1040423112</v>
      </c>
      <c r="N60" s="5">
        <f t="shared" si="10"/>
        <v>146138.27595768869</v>
      </c>
      <c r="O60" s="4">
        <f t="shared" si="11"/>
        <v>7425815.5649213064</v>
      </c>
      <c r="P60">
        <f t="shared" si="12"/>
        <v>51337.102293100063</v>
      </c>
      <c r="Q60">
        <f t="shared" si="13"/>
        <v>7326982.3423032667</v>
      </c>
      <c r="R60">
        <f t="shared" si="14"/>
        <v>164722.03769673314</v>
      </c>
    </row>
    <row r="61" spans="1:18" x14ac:dyDescent="0.3">
      <c r="A61" s="9">
        <v>59</v>
      </c>
      <c r="B61" s="5">
        <v>7573319.9000000004</v>
      </c>
      <c r="C61" s="4">
        <f t="shared" si="0"/>
        <v>7470242.5476986375</v>
      </c>
      <c r="D61">
        <f t="shared" si="1"/>
        <v>61724.292170782508</v>
      </c>
      <c r="E61">
        <f t="shared" si="2"/>
        <v>7426066.5395694813</v>
      </c>
      <c r="F61" s="5">
        <f t="shared" si="3"/>
        <v>147253.3604305191</v>
      </c>
      <c r="G61" s="4">
        <f t="shared" si="4"/>
        <v>7553764.7299206574</v>
      </c>
      <c r="H61">
        <f t="shared" si="5"/>
        <v>113686.98149793323</v>
      </c>
      <c r="I61">
        <f t="shared" si="15"/>
        <v>7534209.5598413143</v>
      </c>
      <c r="J61">
        <f t="shared" si="6"/>
        <v>39110.340158686042</v>
      </c>
      <c r="K61" s="4">
        <f t="shared" si="7"/>
        <v>7571565.5294352584</v>
      </c>
      <c r="L61">
        <f t="shared" si="8"/>
        <v>55501.674539541847</v>
      </c>
      <c r="M61">
        <f t="shared" si="9"/>
        <v>7538232.4887051526</v>
      </c>
      <c r="N61" s="5">
        <f t="shared" si="10"/>
        <v>35087.411294847727</v>
      </c>
      <c r="O61" s="4">
        <f t="shared" si="11"/>
        <v>7534853.0068857633</v>
      </c>
      <c r="P61">
        <f t="shared" si="12"/>
        <v>54222.119276667894</v>
      </c>
      <c r="Q61">
        <f t="shared" si="13"/>
        <v>7477152.6672144067</v>
      </c>
      <c r="R61">
        <f t="shared" si="14"/>
        <v>96167.232785593718</v>
      </c>
    </row>
    <row r="62" spans="1:18" x14ac:dyDescent="0.3">
      <c r="A62" s="9">
        <v>60</v>
      </c>
      <c r="B62" s="5">
        <v>7870452.8499999996</v>
      </c>
      <c r="C62" s="4">
        <f t="shared" si="0"/>
        <v>7633512.6429085936</v>
      </c>
      <c r="D62">
        <f t="shared" si="1"/>
        <v>71878.872474699878</v>
      </c>
      <c r="E62">
        <f t="shared" si="2"/>
        <v>7531966.83986942</v>
      </c>
      <c r="F62" s="5">
        <f t="shared" si="3"/>
        <v>338486.01013057958</v>
      </c>
      <c r="G62" s="4">
        <f t="shared" si="4"/>
        <v>7768952.2807092946</v>
      </c>
      <c r="H62">
        <f t="shared" si="5"/>
        <v>164437.26614328523</v>
      </c>
      <c r="I62">
        <f t="shared" si="15"/>
        <v>7667451.7114185905</v>
      </c>
      <c r="J62">
        <f t="shared" si="6"/>
        <v>203001.13858140912</v>
      </c>
      <c r="K62" s="4">
        <f t="shared" si="7"/>
        <v>7858283.5676987395</v>
      </c>
      <c r="L62">
        <f t="shared" si="8"/>
        <v>67062.492725738819</v>
      </c>
      <c r="M62">
        <f t="shared" si="9"/>
        <v>7627067.2039748002</v>
      </c>
      <c r="N62" s="5">
        <f t="shared" si="10"/>
        <v>243385.64602519944</v>
      </c>
      <c r="O62" s="4">
        <f t="shared" si="11"/>
        <v>7757901.7604649728</v>
      </c>
      <c r="P62">
        <f t="shared" si="12"/>
        <v>62663.450991794976</v>
      </c>
      <c r="Q62">
        <f t="shared" si="13"/>
        <v>7589075.1261624312</v>
      </c>
      <c r="R62">
        <f t="shared" si="14"/>
        <v>281377.72383756842</v>
      </c>
    </row>
    <row r="63" spans="1:18" x14ac:dyDescent="0.3">
      <c r="A63" s="9">
        <v>61</v>
      </c>
      <c r="B63" s="5">
        <v>7646789.1900000004</v>
      </c>
      <c r="C63" s="4">
        <f t="shared" si="0"/>
        <v>7687810.8177683055</v>
      </c>
      <c r="D63">
        <f t="shared" si="1"/>
        <v>70120.802713201076</v>
      </c>
      <c r="E63">
        <f t="shared" si="2"/>
        <v>7705391.5153832939</v>
      </c>
      <c r="F63" s="5">
        <f t="shared" si="3"/>
        <v>-58602.325383293442</v>
      </c>
      <c r="G63" s="4">
        <f t="shared" si="4"/>
        <v>7790089.3684262903</v>
      </c>
      <c r="H63">
        <f t="shared" si="5"/>
        <v>92787.176930140486</v>
      </c>
      <c r="I63">
        <f t="shared" si="15"/>
        <v>7933389.5468525803</v>
      </c>
      <c r="J63">
        <f t="shared" si="6"/>
        <v>-286600.35685257986</v>
      </c>
      <c r="K63" s="4">
        <f t="shared" si="7"/>
        <v>7660717.0335212238</v>
      </c>
      <c r="L63">
        <f t="shared" si="8"/>
        <v>53831.041380576091</v>
      </c>
      <c r="M63">
        <f t="shared" si="9"/>
        <v>7925346.0604244787</v>
      </c>
      <c r="N63" s="5">
        <f t="shared" si="10"/>
        <v>-278556.87042447831</v>
      </c>
      <c r="O63" s="4">
        <f t="shared" si="11"/>
        <v>7716299.5985827073</v>
      </c>
      <c r="P63">
        <f t="shared" si="12"/>
        <v>57450.170348091953</v>
      </c>
      <c r="Q63">
        <f t="shared" si="13"/>
        <v>7820565.2114567682</v>
      </c>
      <c r="R63">
        <f t="shared" si="14"/>
        <v>-173776.0214567678</v>
      </c>
    </row>
    <row r="64" spans="1:18" x14ac:dyDescent="0.3">
      <c r="A64" s="9">
        <v>62</v>
      </c>
      <c r="B64" s="5">
        <v>7690134.5</v>
      </c>
      <c r="C64" s="4">
        <f t="shared" si="0"/>
        <v>7737592.4843370542</v>
      </c>
      <c r="D64">
        <f t="shared" si="1"/>
        <v>68086.889098755841</v>
      </c>
      <c r="E64">
        <f t="shared" si="2"/>
        <v>7757931.6204815069</v>
      </c>
      <c r="F64" s="5">
        <f t="shared" si="3"/>
        <v>-67797.120481506921</v>
      </c>
      <c r="G64" s="4">
        <f t="shared" si="4"/>
        <v>7786505.5226782151</v>
      </c>
      <c r="H64">
        <f t="shared" si="5"/>
        <v>44601.665591032601</v>
      </c>
      <c r="I64">
        <f t="shared" si="15"/>
        <v>7882876.545356431</v>
      </c>
      <c r="J64">
        <f t="shared" si="6"/>
        <v>-192742.04535643104</v>
      </c>
      <c r="K64" s="4">
        <f t="shared" si="7"/>
        <v>7691355.17874509</v>
      </c>
      <c r="L64">
        <f t="shared" si="8"/>
        <v>52671.396572740588</v>
      </c>
      <c r="M64">
        <f t="shared" si="9"/>
        <v>7714548.0749017997</v>
      </c>
      <c r="N64" s="5">
        <f t="shared" si="10"/>
        <v>-24413.574901799671</v>
      </c>
      <c r="O64" s="4">
        <f t="shared" si="11"/>
        <v>7723580.6075723199</v>
      </c>
      <c r="P64">
        <f t="shared" si="12"/>
        <v>54941.71228016798</v>
      </c>
      <c r="Q64">
        <f t="shared" si="13"/>
        <v>7773749.7689307993</v>
      </c>
      <c r="R64">
        <f t="shared" si="14"/>
        <v>-83615.268930799328</v>
      </c>
    </row>
    <row r="65" spans="1:18" x14ac:dyDescent="0.3">
      <c r="A65" s="9">
        <v>63</v>
      </c>
      <c r="B65" s="5">
        <v>7810949.3200000003</v>
      </c>
      <c r="C65" s="4">
        <f t="shared" si="0"/>
        <v>7807260.3574050665</v>
      </c>
      <c r="D65">
        <f t="shared" si="1"/>
        <v>68244.987495681489</v>
      </c>
      <c r="E65">
        <f t="shared" si="2"/>
        <v>7805679.3734358102</v>
      </c>
      <c r="F65" s="5">
        <f t="shared" si="3"/>
        <v>5269.9465641900897</v>
      </c>
      <c r="G65" s="4">
        <f t="shared" si="4"/>
        <v>7821028.2541346233</v>
      </c>
      <c r="H65">
        <f t="shared" si="5"/>
        <v>39562.198523720435</v>
      </c>
      <c r="I65">
        <f t="shared" si="15"/>
        <v>7831107.1882692473</v>
      </c>
      <c r="J65">
        <f t="shared" si="6"/>
        <v>-20157.868269247003</v>
      </c>
      <c r="K65" s="4">
        <f t="shared" si="7"/>
        <v>7807603.1827658918</v>
      </c>
      <c r="L65">
        <f t="shared" si="8"/>
        <v>55850.226945143644</v>
      </c>
      <c r="M65">
        <f t="shared" si="9"/>
        <v>7744026.5753178308</v>
      </c>
      <c r="N65" s="5">
        <f t="shared" si="10"/>
        <v>66922.744682169519</v>
      </c>
      <c r="O65" s="4">
        <f t="shared" si="11"/>
        <v>7797978.5199409956</v>
      </c>
      <c r="P65">
        <f t="shared" si="12"/>
        <v>55914.522284593368</v>
      </c>
      <c r="Q65">
        <f t="shared" si="13"/>
        <v>7778522.3198524881</v>
      </c>
      <c r="R65">
        <f t="shared" si="14"/>
        <v>32427.000147512183</v>
      </c>
    </row>
    <row r="66" spans="1:18" x14ac:dyDescent="0.3">
      <c r="A66" s="9">
        <v>64</v>
      </c>
      <c r="B66" s="5">
        <v>7911484.4900000002</v>
      </c>
      <c r="C66" s="4">
        <f t="shared" si="0"/>
        <v>7886299.0884305229</v>
      </c>
      <c r="D66">
        <f t="shared" si="1"/>
        <v>69324.361848658984</v>
      </c>
      <c r="E66">
        <f t="shared" si="2"/>
        <v>7875505.3449007478</v>
      </c>
      <c r="F66" s="5">
        <f t="shared" si="3"/>
        <v>35979.145099252462</v>
      </c>
      <c r="G66" s="4">
        <f t="shared" si="4"/>
        <v>7886037.4713291721</v>
      </c>
      <c r="H66">
        <f t="shared" si="5"/>
        <v>52285.707859134622</v>
      </c>
      <c r="I66">
        <f t="shared" si="15"/>
        <v>7860590.4526583441</v>
      </c>
      <c r="J66">
        <f t="shared" si="6"/>
        <v>50894.037341656163</v>
      </c>
      <c r="K66" s="4">
        <f t="shared" si="7"/>
        <v>7909082.9359855521</v>
      </c>
      <c r="L66">
        <f t="shared" si="8"/>
        <v>58131.703258869478</v>
      </c>
      <c r="M66">
        <f t="shared" si="9"/>
        <v>7863453.409711035</v>
      </c>
      <c r="N66" s="5">
        <f t="shared" si="10"/>
        <v>48031.080288965255</v>
      </c>
      <c r="O66" s="4">
        <f t="shared" si="11"/>
        <v>7888447.9108902365</v>
      </c>
      <c r="P66">
        <f t="shared" si="12"/>
        <v>57642.265717825743</v>
      </c>
      <c r="Q66">
        <f t="shared" si="13"/>
        <v>7853893.042225589</v>
      </c>
      <c r="R66">
        <f t="shared" si="14"/>
        <v>57591.447774411179</v>
      </c>
    </row>
    <row r="67" spans="1:18" x14ac:dyDescent="0.3">
      <c r="A67" s="9">
        <v>65</v>
      </c>
      <c r="B67" s="5">
        <v>7854186.71</v>
      </c>
      <c r="C67" s="4">
        <f t="shared" si="0"/>
        <v>7925192.4281954262</v>
      </c>
      <c r="D67">
        <f t="shared" si="1"/>
        <v>66281.259640283417</v>
      </c>
      <c r="E67">
        <f t="shared" si="2"/>
        <v>7955623.4502791818</v>
      </c>
      <c r="F67" s="5">
        <f t="shared" si="3"/>
        <v>-101436.74027918186</v>
      </c>
      <c r="G67" s="4">
        <f t="shared" si="4"/>
        <v>7896254.9445941532</v>
      </c>
      <c r="H67">
        <f t="shared" si="5"/>
        <v>31251.590562057841</v>
      </c>
      <c r="I67">
        <f t="shared" si="15"/>
        <v>7938323.1791883064</v>
      </c>
      <c r="J67">
        <f t="shared" si="6"/>
        <v>-84136.469188306481</v>
      </c>
      <c r="K67" s="4">
        <f t="shared" si="7"/>
        <v>7859838.1064622216</v>
      </c>
      <c r="L67">
        <f t="shared" si="8"/>
        <v>52762.876619759474</v>
      </c>
      <c r="M67">
        <f t="shared" si="9"/>
        <v>7967214.6392444214</v>
      </c>
      <c r="N67" s="5">
        <f t="shared" si="10"/>
        <v>-113027.92924442142</v>
      </c>
      <c r="O67" s="4">
        <f t="shared" si="11"/>
        <v>7890948.0966432244</v>
      </c>
      <c r="P67">
        <f t="shared" si="12"/>
        <v>54885.161719583848</v>
      </c>
      <c r="Q67">
        <f t="shared" si="13"/>
        <v>7946090.1766080623</v>
      </c>
      <c r="R67">
        <f t="shared" si="14"/>
        <v>-91903.466608062387</v>
      </c>
    </row>
    <row r="68" spans="1:18" x14ac:dyDescent="0.3">
      <c r="A68" s="9">
        <v>66</v>
      </c>
      <c r="B68" s="5">
        <v>7890747.0099999998</v>
      </c>
      <c r="C68" s="4">
        <f t="shared" si="0"/>
        <v>7961255.6844849959</v>
      </c>
      <c r="D68">
        <f t="shared" si="1"/>
        <v>63259.459305212047</v>
      </c>
      <c r="E68">
        <f t="shared" si="2"/>
        <v>7991473.6878357101</v>
      </c>
      <c r="F68" s="5">
        <f t="shared" si="3"/>
        <v>-100726.67783571035</v>
      </c>
      <c r="G68" s="4">
        <f t="shared" si="4"/>
        <v>7909126.7725781053</v>
      </c>
      <c r="H68">
        <f t="shared" si="5"/>
        <v>22061.709273004984</v>
      </c>
      <c r="I68">
        <f t="shared" si="15"/>
        <v>7927506.5351562109</v>
      </c>
      <c r="J68">
        <f t="shared" si="6"/>
        <v>-36759.525156211108</v>
      </c>
      <c r="K68" s="4">
        <f t="shared" si="7"/>
        <v>7891839.7086540982</v>
      </c>
      <c r="L68">
        <f t="shared" si="8"/>
        <v>51724.81289836533</v>
      </c>
      <c r="M68">
        <f t="shared" si="9"/>
        <v>7912600.9830819806</v>
      </c>
      <c r="N68" s="5">
        <f t="shared" si="10"/>
        <v>-21853.973081980832</v>
      </c>
      <c r="O68" s="4">
        <f t="shared" si="11"/>
        <v>7912781.5093451226</v>
      </c>
      <c r="P68">
        <f t="shared" si="12"/>
        <v>53232.574268699565</v>
      </c>
      <c r="Q68">
        <f t="shared" si="13"/>
        <v>7945833.2583628083</v>
      </c>
      <c r="R68">
        <f t="shared" si="14"/>
        <v>-55086.248362808488</v>
      </c>
    </row>
    <row r="69" spans="1:18" x14ac:dyDescent="0.3">
      <c r="A69" s="9">
        <v>67</v>
      </c>
      <c r="B69" s="5">
        <v>7845551.9100000001</v>
      </c>
      <c r="C69" s="4">
        <f t="shared" ref="C69:C74" si="16">(($E$1*B69)+((1-$E$1)*(C68+D68)))</f>
        <v>7970826.1736531453</v>
      </c>
      <c r="D69">
        <f t="shared" ref="D69:D74" si="17">$F$1*(C69-C68)+(1-$F$1)*D68</f>
        <v>57890.56229150579</v>
      </c>
      <c r="E69">
        <f t="shared" ref="E69:E74" si="18">C68+D68</f>
        <v>8024515.1437902078</v>
      </c>
      <c r="F69" s="5">
        <f t="shared" ref="F69:F74" si="19">B69-E69</f>
        <v>-178963.23379020765</v>
      </c>
      <c r="G69" s="4">
        <f t="shared" ref="G69:G74" si="20">(($I$1*B69)+((1-$I$1)*(G68+H68)))</f>
        <v>7888370.1959255552</v>
      </c>
      <c r="H69">
        <f t="shared" ref="H69:H74" si="21">$J$1*(G69-G68)+(1-$J$1)*H68</f>
        <v>652.56631022742295</v>
      </c>
      <c r="I69">
        <f t="shared" ref="I69:I74" si="22">G68+H68</f>
        <v>7931188.4818511102</v>
      </c>
      <c r="J69">
        <f t="shared" ref="J69:J74" si="23">B69-I69</f>
        <v>-85636.571851110086</v>
      </c>
      <c r="K69" s="4">
        <f t="shared" ref="K69:K74" si="24">($M$1*B69)+(1-$M$1)*(K68+L68)</f>
        <v>7850452.5405776231</v>
      </c>
      <c r="L69">
        <f t="shared" ref="L69:L74" si="25">$N$1*(K69-K68)+(1-$N$1)*L68</f>
        <v>47069.213849623302</v>
      </c>
      <c r="M69">
        <f t="shared" ref="M69:M74" si="26">K68+L68</f>
        <v>7943564.521552464</v>
      </c>
      <c r="N69" s="5">
        <f t="shared" ref="N69:N74" si="27">B69-M69</f>
        <v>-98012.611552463844</v>
      </c>
      <c r="O69" s="4">
        <f t="shared" ref="O69:O74" si="28">($Q$1*B69)+(1-$Q$1)*(O68+P68)</f>
        <v>7893736.779445529</v>
      </c>
      <c r="P69">
        <f t="shared" ref="P69:P74" si="29">$R$1*(O69-O68)+(1-$R$1)*P68</f>
        <v>49618.709060284898</v>
      </c>
      <c r="Q69">
        <f t="shared" ref="Q69:Q74" si="30">O68+P68</f>
        <v>7966014.0836138222</v>
      </c>
      <c r="R69">
        <f t="shared" ref="R69:R74" si="31">B69-Q69</f>
        <v>-120462.17361382209</v>
      </c>
    </row>
    <row r="70" spans="1:18" x14ac:dyDescent="0.3">
      <c r="A70" s="9">
        <v>68</v>
      </c>
      <c r="B70" s="5">
        <v>7897628.21</v>
      </c>
      <c r="C70" s="4">
        <f t="shared" si="16"/>
        <v>7989390.178161256</v>
      </c>
      <c r="D70">
        <f t="shared" si="17"/>
        <v>53957.906513166279</v>
      </c>
      <c r="E70">
        <f t="shared" si="18"/>
        <v>8028716.7359446511</v>
      </c>
      <c r="F70" s="5">
        <f t="shared" si="19"/>
        <v>-131088.5259446511</v>
      </c>
      <c r="G70" s="4">
        <f t="shared" si="20"/>
        <v>7893325.486117892</v>
      </c>
      <c r="H70">
        <f t="shared" si="21"/>
        <v>2803.9282512820992</v>
      </c>
      <c r="I70">
        <f t="shared" si="22"/>
        <v>7889022.762235783</v>
      </c>
      <c r="J70">
        <f t="shared" si="23"/>
        <v>8605.4477642169222</v>
      </c>
      <c r="K70" s="4">
        <f t="shared" si="24"/>
        <v>7897622.8872213624</v>
      </c>
      <c r="L70">
        <f t="shared" si="25"/>
        <v>47074.270489329101</v>
      </c>
      <c r="M70">
        <f t="shared" si="26"/>
        <v>7897521.7544272467</v>
      </c>
      <c r="N70" s="5">
        <f t="shared" si="27"/>
        <v>106.45557275321335</v>
      </c>
      <c r="O70" s="4">
        <f t="shared" si="28"/>
        <v>7915919.121402326</v>
      </c>
      <c r="P70">
        <f t="shared" si="29"/>
        <v>48246.890705110505</v>
      </c>
      <c r="Q70">
        <f t="shared" si="30"/>
        <v>7943355.4885058142</v>
      </c>
      <c r="R70">
        <f t="shared" si="31"/>
        <v>-45727.278505814262</v>
      </c>
    </row>
    <row r="71" spans="1:18" x14ac:dyDescent="0.3">
      <c r="A71" s="9">
        <v>69</v>
      </c>
      <c r="B71" s="5">
        <v>7962693.3600000003</v>
      </c>
      <c r="C71" s="4">
        <f t="shared" si="16"/>
        <v>8019151.6672720946</v>
      </c>
      <c r="D71">
        <f t="shared" si="17"/>
        <v>51538.264772933515</v>
      </c>
      <c r="E71">
        <f t="shared" si="18"/>
        <v>8043348.0846744226</v>
      </c>
      <c r="F71" s="5">
        <f t="shared" si="19"/>
        <v>-80654.724674422294</v>
      </c>
      <c r="G71" s="4">
        <f t="shared" si="20"/>
        <v>7929411.3871845873</v>
      </c>
      <c r="H71">
        <f t="shared" si="21"/>
        <v>19444.91465898872</v>
      </c>
      <c r="I71">
        <f t="shared" si="22"/>
        <v>7896129.4143691743</v>
      </c>
      <c r="J71">
        <f t="shared" si="23"/>
        <v>66563.945630826056</v>
      </c>
      <c r="K71" s="4">
        <f t="shared" si="24"/>
        <v>7961793.5498855347</v>
      </c>
      <c r="L71">
        <f t="shared" si="25"/>
        <v>47929.090098071254</v>
      </c>
      <c r="M71">
        <f t="shared" si="26"/>
        <v>7944697.1577106919</v>
      </c>
      <c r="N71" s="5">
        <f t="shared" si="27"/>
        <v>17996.202289308421</v>
      </c>
      <c r="O71" s="4">
        <f t="shared" si="28"/>
        <v>7963282.4208429744</v>
      </c>
      <c r="P71">
        <f t="shared" si="29"/>
        <v>48202.711141887397</v>
      </c>
      <c r="Q71">
        <f t="shared" si="30"/>
        <v>7964166.0121074365</v>
      </c>
      <c r="R71">
        <f t="shared" si="31"/>
        <v>-1472.6521074362099</v>
      </c>
    </row>
    <row r="72" spans="1:18" x14ac:dyDescent="0.3">
      <c r="A72" s="9">
        <v>70</v>
      </c>
      <c r="B72" s="5">
        <v>8223055.0199999996</v>
      </c>
      <c r="C72" s="4">
        <f t="shared" si="16"/>
        <v>8116399.4584315196</v>
      </c>
      <c r="D72">
        <f t="shared" si="17"/>
        <v>56109.217411582664</v>
      </c>
      <c r="E72">
        <f t="shared" si="18"/>
        <v>8070689.9320450285</v>
      </c>
      <c r="F72" s="5">
        <f t="shared" si="19"/>
        <v>152365.08795497101</v>
      </c>
      <c r="G72" s="4">
        <f t="shared" si="20"/>
        <v>8085955.6609217878</v>
      </c>
      <c r="H72">
        <f t="shared" si="21"/>
        <v>87994.594198094623</v>
      </c>
      <c r="I72">
        <f t="shared" si="22"/>
        <v>7948856.3018435761</v>
      </c>
      <c r="J72">
        <f t="shared" si="23"/>
        <v>274198.71815642342</v>
      </c>
      <c r="K72" s="4">
        <f t="shared" si="24"/>
        <v>8212388.40099918</v>
      </c>
      <c r="L72">
        <f t="shared" si="25"/>
        <v>58062.378148849959</v>
      </c>
      <c r="M72">
        <f t="shared" si="26"/>
        <v>8009722.6399836056</v>
      </c>
      <c r="N72" s="5">
        <f t="shared" si="27"/>
        <v>213332.38001639396</v>
      </c>
      <c r="O72" s="4">
        <f t="shared" si="28"/>
        <v>8138427.0647939444</v>
      </c>
      <c r="P72">
        <f t="shared" si="29"/>
        <v>54549.807782341522</v>
      </c>
      <c r="Q72">
        <f t="shared" si="30"/>
        <v>8011485.1319848616</v>
      </c>
      <c r="R72">
        <f t="shared" si="31"/>
        <v>211569.88801513799</v>
      </c>
    </row>
    <row r="73" spans="1:18" x14ac:dyDescent="0.3">
      <c r="A73" s="9">
        <v>71</v>
      </c>
      <c r="B73" s="5">
        <v>8297349.5099999998</v>
      </c>
      <c r="C73" s="4">
        <f t="shared" si="16"/>
        <v>8209960.9260901716</v>
      </c>
      <c r="D73">
        <f t="shared" si="17"/>
        <v>59854.442436289595</v>
      </c>
      <c r="E73">
        <f t="shared" si="18"/>
        <v>8172508.6758431019</v>
      </c>
      <c r="F73" s="5">
        <f t="shared" si="19"/>
        <v>124840.83415689785</v>
      </c>
      <c r="G73" s="4">
        <f t="shared" si="20"/>
        <v>8235649.8825599412</v>
      </c>
      <c r="H73">
        <f t="shared" si="21"/>
        <v>118844.40791812396</v>
      </c>
      <c r="I73">
        <f t="shared" si="22"/>
        <v>8173950.2551198825</v>
      </c>
      <c r="J73">
        <f t="shared" si="23"/>
        <v>123399.25488011725</v>
      </c>
      <c r="K73" s="4">
        <f t="shared" si="24"/>
        <v>8296004.5734574012</v>
      </c>
      <c r="L73">
        <f t="shared" si="25"/>
        <v>59340.067864318524</v>
      </c>
      <c r="M73">
        <f t="shared" si="26"/>
        <v>8270450.7791480301</v>
      </c>
      <c r="N73" s="5">
        <f t="shared" si="27"/>
        <v>26898.730851969682</v>
      </c>
      <c r="O73" s="4">
        <f t="shared" si="28"/>
        <v>8255600.4550305139</v>
      </c>
      <c r="P73">
        <f t="shared" si="29"/>
        <v>57680.986905052923</v>
      </c>
      <c r="Q73">
        <f t="shared" si="30"/>
        <v>8192976.8725762861</v>
      </c>
      <c r="R73">
        <f t="shared" si="31"/>
        <v>104372.63742371369</v>
      </c>
    </row>
    <row r="74" spans="1:18" x14ac:dyDescent="0.3">
      <c r="A74" s="9">
        <v>72</v>
      </c>
      <c r="B74" s="5">
        <v>8528022.3100000005</v>
      </c>
      <c r="C74" s="4">
        <f t="shared" si="16"/>
        <v>8347277.4509685226</v>
      </c>
      <c r="D74">
        <f t="shared" si="17"/>
        <v>67600.650680495732</v>
      </c>
      <c r="E74">
        <f t="shared" si="18"/>
        <v>8269815.3685264615</v>
      </c>
      <c r="F74" s="5">
        <f t="shared" si="19"/>
        <v>258206.94147353899</v>
      </c>
      <c r="G74" s="4">
        <f t="shared" si="20"/>
        <v>8441258.3002390321</v>
      </c>
      <c r="H74">
        <f t="shared" si="21"/>
        <v>162226.41279860749</v>
      </c>
      <c r="I74">
        <f t="shared" si="22"/>
        <v>8354494.2904780647</v>
      </c>
      <c r="J74">
        <f t="shared" si="23"/>
        <v>173528.01952193584</v>
      </c>
      <c r="K74" s="4">
        <f t="shared" si="24"/>
        <v>8519388.4265660867</v>
      </c>
      <c r="L74">
        <f t="shared" si="25"/>
        <v>67542.257126536875</v>
      </c>
      <c r="M74">
        <f t="shared" si="26"/>
        <v>8355344.6413217196</v>
      </c>
      <c r="N74" s="5">
        <f t="shared" si="27"/>
        <v>172677.6686782809</v>
      </c>
      <c r="O74" s="4">
        <f t="shared" si="28"/>
        <v>8442125.9627742264</v>
      </c>
      <c r="P74">
        <f t="shared" si="29"/>
        <v>64123.212946985899</v>
      </c>
      <c r="Q74">
        <f t="shared" si="30"/>
        <v>8313281.4419355672</v>
      </c>
      <c r="R74">
        <f t="shared" si="31"/>
        <v>214740.86806443334</v>
      </c>
    </row>
  </sheetData>
  <mergeCells count="5">
    <mergeCell ref="K1:L1"/>
    <mergeCell ref="G1:H1"/>
    <mergeCell ref="C1:D1"/>
    <mergeCell ref="A1:A2"/>
    <mergeCell ref="B1: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75A0-6183-432F-92F5-5B9A2044A930}">
  <dimension ref="A1:F12"/>
  <sheetViews>
    <sheetView workbookViewId="0">
      <selection activeCell="J5" sqref="J5"/>
    </sheetView>
  </sheetViews>
  <sheetFormatPr defaultRowHeight="15.6" x14ac:dyDescent="0.3"/>
  <cols>
    <col min="4" max="4" width="11.19921875" customWidth="1"/>
  </cols>
  <sheetData>
    <row r="1" spans="1:6" ht="16.8" thickTop="1" thickBot="1" x14ac:dyDescent="0.35">
      <c r="A1" s="60" t="s">
        <v>13</v>
      </c>
      <c r="B1" s="61"/>
      <c r="C1" s="59"/>
      <c r="D1" s="59"/>
      <c r="E1" s="6">
        <v>0.3</v>
      </c>
      <c r="F1" s="6">
        <v>0.1</v>
      </c>
    </row>
    <row r="2" spans="1:6" ht="20.55" customHeight="1" thickTop="1" thickBot="1" x14ac:dyDescent="4.2">
      <c r="A2" s="60"/>
      <c r="B2" s="61"/>
      <c r="C2" s="7"/>
      <c r="D2" s="8"/>
      <c r="E2" s="7"/>
      <c r="F2" s="7"/>
    </row>
    <row r="3" spans="1:6" ht="16.2" thickTop="1" x14ac:dyDescent="0.3">
      <c r="A3" s="9">
        <v>1</v>
      </c>
      <c r="B3" s="5">
        <v>500</v>
      </c>
      <c r="C3" s="12">
        <v>500</v>
      </c>
      <c r="D3">
        <v>0</v>
      </c>
      <c r="E3">
        <v>500</v>
      </c>
      <c r="F3" s="11">
        <v>0</v>
      </c>
    </row>
    <row r="4" spans="1:6" x14ac:dyDescent="0.3">
      <c r="A4" s="9">
        <v>2</v>
      </c>
      <c r="B4" s="5">
        <v>350</v>
      </c>
      <c r="C4" s="12">
        <f>(($E$1*B4)+((1-$E$1)*(C3+D3)))</f>
        <v>455</v>
      </c>
      <c r="D4">
        <f>$F$1*(C4-C3)+(1-$F$1)*D3</f>
        <v>-4.5</v>
      </c>
      <c r="E4">
        <f>C3+D3</f>
        <v>500</v>
      </c>
      <c r="F4" s="11">
        <f>B4-E4</f>
        <v>-150</v>
      </c>
    </row>
    <row r="5" spans="1:6" x14ac:dyDescent="0.3">
      <c r="A5" s="9">
        <v>3</v>
      </c>
      <c r="B5" s="5">
        <v>250</v>
      </c>
      <c r="C5" s="12">
        <f t="shared" ref="C5:C12" si="0">(($E$1*B5)+((1-$E$1)*(C4+D4)))</f>
        <v>390.34999999999997</v>
      </c>
      <c r="D5">
        <f t="shared" ref="D5:D12" si="1">$F$1*(C5-C4)+(1-$F$1)*D4</f>
        <v>-10.515000000000004</v>
      </c>
      <c r="E5">
        <f t="shared" ref="E5:E12" si="2">C4+D4</f>
        <v>450.5</v>
      </c>
      <c r="F5" s="11">
        <f t="shared" ref="F5:F12" si="3">B5-E5</f>
        <v>-200.5</v>
      </c>
    </row>
    <row r="6" spans="1:6" x14ac:dyDescent="0.3">
      <c r="A6" s="9">
        <v>4</v>
      </c>
      <c r="B6" s="5">
        <v>400</v>
      </c>
      <c r="C6" s="12">
        <f t="shared" si="0"/>
        <v>385.88449999999995</v>
      </c>
      <c r="D6">
        <f t="shared" si="1"/>
        <v>-9.9100500000000054</v>
      </c>
      <c r="E6">
        <f t="shared" si="2"/>
        <v>379.83499999999998</v>
      </c>
      <c r="F6" s="11">
        <f t="shared" si="3"/>
        <v>20.16500000000002</v>
      </c>
    </row>
    <row r="7" spans="1:6" x14ac:dyDescent="0.3">
      <c r="A7" s="9">
        <v>5</v>
      </c>
      <c r="B7" s="5">
        <v>450</v>
      </c>
      <c r="C7" s="12">
        <f t="shared" si="0"/>
        <v>398.18211499999995</v>
      </c>
      <c r="D7">
        <f t="shared" si="1"/>
        <v>-7.6892835000000055</v>
      </c>
      <c r="E7">
        <f t="shared" si="2"/>
        <v>375.97444999999993</v>
      </c>
      <c r="F7" s="11">
        <f t="shared" si="3"/>
        <v>74.025550000000067</v>
      </c>
    </row>
    <row r="8" spans="1:6" x14ac:dyDescent="0.3">
      <c r="A8" s="9">
        <v>6</v>
      </c>
      <c r="B8" s="5">
        <v>350</v>
      </c>
      <c r="C8" s="12">
        <f t="shared" si="0"/>
        <v>378.34498204999994</v>
      </c>
      <c r="D8">
        <f t="shared" si="1"/>
        <v>-8.9040684450000072</v>
      </c>
      <c r="E8">
        <f t="shared" si="2"/>
        <v>390.49283149999997</v>
      </c>
      <c r="F8" s="11">
        <f t="shared" si="3"/>
        <v>-40.492831499999966</v>
      </c>
    </row>
    <row r="9" spans="1:6" x14ac:dyDescent="0.3">
      <c r="A9" s="9">
        <v>7</v>
      </c>
      <c r="B9" s="5">
        <v>200</v>
      </c>
      <c r="C9" s="12">
        <f t="shared" si="0"/>
        <v>318.60863952349996</v>
      </c>
      <c r="D9">
        <f t="shared" si="1"/>
        <v>-13.987295853150005</v>
      </c>
      <c r="E9">
        <f t="shared" si="2"/>
        <v>369.44091360499993</v>
      </c>
      <c r="F9" s="11">
        <f t="shared" si="3"/>
        <v>-169.44091360499993</v>
      </c>
    </row>
    <row r="10" spans="1:6" x14ac:dyDescent="0.3">
      <c r="A10" s="9">
        <v>8</v>
      </c>
      <c r="B10" s="5">
        <v>300</v>
      </c>
      <c r="C10" s="12">
        <f t="shared" si="0"/>
        <v>303.23494056924494</v>
      </c>
      <c r="D10">
        <f t="shared" si="1"/>
        <v>-14.125936163260508</v>
      </c>
      <c r="E10">
        <f t="shared" si="2"/>
        <v>304.62134367034997</v>
      </c>
      <c r="F10" s="11">
        <f t="shared" si="3"/>
        <v>-4.6213436703499724</v>
      </c>
    </row>
    <row r="11" spans="1:6" x14ac:dyDescent="0.3">
      <c r="A11" s="9">
        <v>9</v>
      </c>
      <c r="B11" s="5">
        <v>350</v>
      </c>
      <c r="C11" s="12">
        <f t="shared" si="0"/>
        <v>307.37630308418909</v>
      </c>
      <c r="D11">
        <f t="shared" si="1"/>
        <v>-12.299206295440042</v>
      </c>
      <c r="E11">
        <f t="shared" si="2"/>
        <v>289.10900440598442</v>
      </c>
      <c r="F11" s="11">
        <f t="shared" si="3"/>
        <v>60.890995594015578</v>
      </c>
    </row>
    <row r="12" spans="1:6" x14ac:dyDescent="0.3">
      <c r="A12" s="9">
        <v>10</v>
      </c>
      <c r="B12" s="5">
        <v>200</v>
      </c>
      <c r="C12" s="12">
        <f t="shared" si="0"/>
        <v>266.55396775212432</v>
      </c>
      <c r="D12">
        <f t="shared" si="1"/>
        <v>-15.151519199102514</v>
      </c>
      <c r="E12">
        <f t="shared" si="2"/>
        <v>295.07709678874903</v>
      </c>
      <c r="F12" s="11">
        <f t="shared" si="3"/>
        <v>-95.077096788749031</v>
      </c>
    </row>
  </sheetData>
  <mergeCells count="3">
    <mergeCell ref="A1:A2"/>
    <mergeCell ref="B1:B2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Split</vt:lpstr>
      <vt:lpstr>DES 5 tahun</vt:lpstr>
      <vt:lpstr>Exponential Smoothing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Arya maulana</cp:lastModifiedBy>
  <dcterms:created xsi:type="dcterms:W3CDTF">2024-11-01T04:35:41Z</dcterms:created>
  <dcterms:modified xsi:type="dcterms:W3CDTF">2025-10-15T06:47:57Z</dcterms:modified>
</cp:coreProperties>
</file>